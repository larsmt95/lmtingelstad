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38640" windowHeight="21840" firstSheet="0" activeTab="0"/>
  </bookViews>
  <sheets>
    <sheet name="Datafil" sheetId="1" state="visible" r:id="rId1"/>
    <sheet name="kontroll" sheetId="4" state="visible" r:id="rId2"/>
    <sheet name="Ark1" sheetId="5" state="visible" r:id="rId3"/>
    <sheet name="Forkortelser" sheetId="2" state="visible" r:id="rId4"/>
    <sheet name="Kladd Sara" sheetId="3" state="visible" r:id="rId5"/>
    <sheet name="stat_random_full" sheetId="11" state="visible" r:id="rId6"/>
    <sheet name="stat_endring_full" sheetId="12" state="visible" r:id="rId7"/>
    <sheet name="baselinesammenligning" sheetId="14" state="visible" r:id="rId8"/>
    <sheet name="seleksjonsskjevhet" sheetId="15" state="visible" r:id="rId9"/>
    <sheet name="deskriptiv tabell" sheetId="6" state="visible" r:id="rId10"/>
    <sheet name="effektstorrelse_tabell" sheetId="17" state="visible" r:id="rId11"/>
    <sheet name="change_table" sheetId="16" state="visible" r:id="rId12"/>
    <sheet name="hoveddtabell" sheetId="13" state="visible" r:id="rId13"/>
    <sheet name="stat_random" sheetId="7" state="visible" r:id="rId14"/>
    <sheet name="stat_endring" sheetId="8" state="visible" r:id="rId15"/>
    <sheet name="stat_random_korr" sheetId="9" state="visible" r:id="rId16"/>
    <sheet name="stat_endring_korr" sheetId="10" state="visible" r:id="rId17"/>
  </sheets>
  <definedNames>
    <definedName name="_xlnm._FilterDatabase" localSheetId="6" hidden="1">stat_endring_full!$A$1:$H$79</definedName>
  </definedNames>
  <calcPr calcId="191029"/>
</workbook>
</file>

<file path=xl/sharedStrings.xml><?xml version="1.0" encoding="utf-8"?>
<sst xmlns="http://schemas.openxmlformats.org/spreadsheetml/2006/main" count="1245" uniqueCount="1245">
  <si>
    <t>SubjectID</t>
  </si>
  <si>
    <t>Pre_FVC</t>
  </si>
  <si>
    <t>Pre_FEV1</t>
  </si>
  <si>
    <t>Pre_DLCO</t>
  </si>
  <si>
    <t>Pre_KCO</t>
  </si>
  <si>
    <t>Pre_MVV_L_MIN</t>
  </si>
  <si>
    <t>Pre_MVVforventet</t>
  </si>
  <si>
    <t>Post_FVC</t>
  </si>
  <si>
    <t>Post_FEV1</t>
  </si>
  <si>
    <t>Post_DLCO</t>
  </si>
  <si>
    <t>Post_KCO</t>
  </si>
  <si>
    <t>Post_MVV_L_MIN</t>
  </si>
  <si>
    <t>Pre_Sysbt_post</t>
  </si>
  <si>
    <t>Pre_Diabt_post</t>
  </si>
  <si>
    <t>Pre_SpO2maks</t>
  </si>
  <si>
    <t>Pre_Borgs</t>
  </si>
  <si>
    <t>Pre_Tid_min</t>
  </si>
  <si>
    <t>Pre_VO2Lmin</t>
  </si>
  <si>
    <t>Pre_VO2mlkgmin</t>
  </si>
  <si>
    <t>Pre_VEmaksL</t>
  </si>
  <si>
    <t>Pre_BFmaks</t>
  </si>
  <si>
    <t>Pre_RERmaks</t>
  </si>
  <si>
    <t>Pre_HFmaks</t>
  </si>
  <si>
    <t>Pre_O2puls</t>
  </si>
  <si>
    <t>Pre_VEVCO2slope</t>
  </si>
  <si>
    <t>Pre_AT_L</t>
  </si>
  <si>
    <t>Post_Sysbt_hvile</t>
  </si>
  <si>
    <t>Post_Diabt_hvile</t>
  </si>
  <si>
    <t>Post_Sysbt_maks</t>
  </si>
  <si>
    <t>Post_Diabt_maks</t>
  </si>
  <si>
    <t>Post_SpO2maks</t>
  </si>
  <si>
    <t>Post_Borgs</t>
  </si>
  <si>
    <t>Post_VO2Lmin</t>
  </si>
  <si>
    <t>Post_VO2mlkgmin</t>
  </si>
  <si>
    <t>Post_VEmaksL</t>
  </si>
  <si>
    <t>Post_BFmaks</t>
  </si>
  <si>
    <t>Post_RERmaks</t>
  </si>
  <si>
    <t>Post_HFmaks</t>
  </si>
  <si>
    <t>Post_VEVCO2slope</t>
  </si>
  <si>
    <t>Post_AT_L</t>
  </si>
  <si>
    <t>Post_O2puls</t>
  </si>
  <si>
    <t>EKKO</t>
  </si>
  <si>
    <t>Pre_totalfatmass_kg</t>
  </si>
  <si>
    <t>Pre_fettprosent</t>
  </si>
  <si>
    <t>Post_totalfatmass_kg</t>
  </si>
  <si>
    <t>Post_fettprosent</t>
  </si>
  <si>
    <t>ID</t>
  </si>
  <si>
    <t>Pre_VO2relativ_prosentforventet</t>
  </si>
  <si>
    <t>Pre_Laktat</t>
  </si>
  <si>
    <t>Post_Laktat</t>
  </si>
  <si>
    <t>mvpa0</t>
  </si>
  <si>
    <t>mvpa1</t>
  </si>
  <si>
    <t>pretest post-peak hjertefrekvens</t>
  </si>
  <si>
    <t>pretest post-peak slagvolum (beregnet ut ifra innskrevet avrundet pretest diameter i venstre utløpstraktus, bygger på forutsetning om at denne ikke har endret seg ved trening)</t>
  </si>
  <si>
    <t>jeg har brukt denne</t>
  </si>
  <si>
    <t>pretest post-peak minuttvolum  (beregnet ut ifra innskrevet avrundet pretest diameter i venstre utløpstraktus, bygger på forutsetning om at denne ikke har endret seg ved trening)</t>
  </si>
  <si>
    <t xml:space="preserve">pretest tid til ekko </t>
  </si>
  <si>
    <t>posttest post-peak hjertefrekvens</t>
  </si>
  <si>
    <t>posttest post-peak slagvolum (beregnet ut ifra innskrevet avrundet posttest diameter i venstre utløpstraktus, bygger på forutsetning om at denne ikke har endret seg ved trening)</t>
  </si>
  <si>
    <t>posttest post-peak minuttvolum  (beregnet ut ifra innskrevet avrundet posttest diameter i venstre utløpstraktus, bygger på forutsetning om at denne ikke har endret seg ved trening)</t>
  </si>
  <si>
    <t xml:space="preserve">posttest tid til ekko </t>
  </si>
  <si>
    <t>Gruppe (0=non-cancer controls, 1=BCSs exercise, 2= BCSs usual care)</t>
  </si>
  <si>
    <t>Post_MengdeHB_gra,</t>
  </si>
  <si>
    <t>Pre_MengdeHB_gram</t>
  </si>
  <si>
    <t>CSA-MHC1-pre</t>
  </si>
  <si>
    <t>CSA-MHC1-post</t>
  </si>
  <si>
    <t>CSA-MHC2-pre</t>
  </si>
  <si>
    <t>CSA-MHC2-post</t>
  </si>
  <si>
    <t>CSA-Total-pre</t>
  </si>
  <si>
    <t>CSA-Total-post</t>
  </si>
  <si>
    <t>Proportion MHC1 pre</t>
  </si>
  <si>
    <t>Proportion MHC1 post</t>
  </si>
  <si>
    <t>Proportion MHC2 pre</t>
  </si>
  <si>
    <t>Proportion MHC2 post</t>
  </si>
  <si>
    <t>CAF_MHC1_Pre</t>
  </si>
  <si>
    <t>CAF_MHC1_Post</t>
  </si>
  <si>
    <t>CAF_MHC2_Pre</t>
  </si>
  <si>
    <t>CAF_MHC2_Post</t>
  </si>
  <si>
    <t>CAF_TOTAL_Pre</t>
  </si>
  <si>
    <t>CAF_TOTAL_Post</t>
  </si>
  <si>
    <t>CAFA_MHC1_Pre</t>
  </si>
  <si>
    <t>CAFA_MHC1_Post</t>
  </si>
  <si>
    <t>CAFA_MHC2_Pre</t>
  </si>
  <si>
    <t>CAFA_MHC2_Post</t>
  </si>
  <si>
    <t>CAFA_TOTAL_Pre</t>
  </si>
  <si>
    <t>CAFA_TOTAL_Post</t>
  </si>
  <si>
    <t>CS_Pre</t>
  </si>
  <si>
    <t>CS_Post</t>
  </si>
  <si>
    <t>HADH_Pre</t>
  </si>
  <si>
    <t>HADH_Post</t>
  </si>
  <si>
    <t>Muskelbiopsier</t>
  </si>
  <si>
    <t>MHC1</t>
  </si>
  <si>
    <t>Type 1 fibre</t>
  </si>
  <si>
    <t>MHC2</t>
  </si>
  <si>
    <t>Type 2 fibre</t>
  </si>
  <si>
    <t>CSA</t>
  </si>
  <si>
    <t>Cross sectional area (fiberareal)</t>
  </si>
  <si>
    <t>Proportion MHC1</t>
  </si>
  <si>
    <t>Andel type 1 fibre</t>
  </si>
  <si>
    <t>Proportion MHC2</t>
  </si>
  <si>
    <t>Andel type 2 fibre</t>
  </si>
  <si>
    <t>CAF</t>
  </si>
  <si>
    <t>Capillaries per fiber</t>
  </si>
  <si>
    <t>CAFA</t>
  </si>
  <si>
    <t>Capillaries per fiber area</t>
  </si>
  <si>
    <t>CS</t>
  </si>
  <si>
    <t>Citrate Synthase</t>
  </si>
  <si>
    <t>HADH</t>
  </si>
  <si>
    <t>3-hydroxyacyl-CoA-dehydrogenase</t>
  </si>
  <si>
    <t>Pre_LegsLeanMass_gram</t>
  </si>
  <si>
    <t>Post_LegsLeanMass_gram</t>
  </si>
  <si>
    <t>Pre_TotalLeanMass_KG</t>
  </si>
  <si>
    <t>Post_TotalLeanMass_kg</t>
  </si>
  <si>
    <t>Alder_pre</t>
  </si>
  <si>
    <t>Høyde_pre</t>
  </si>
  <si>
    <t>Vekt_pre</t>
  </si>
  <si>
    <t>BMI_pre</t>
  </si>
  <si>
    <t>Høyde_post</t>
  </si>
  <si>
    <t>Vekt_post</t>
  </si>
  <si>
    <t>BMI_post</t>
  </si>
  <si>
    <t>GRUPPER</t>
  </si>
  <si>
    <t>BCSs (brystkreft) exercise</t>
  </si>
  <si>
    <t>BCSs usual care</t>
  </si>
  <si>
    <t>Non-cancer controls</t>
  </si>
  <si>
    <t>Pre_Q_Lmin</t>
  </si>
  <si>
    <t>Pre_tidtilQ</t>
  </si>
  <si>
    <t>Pre_HRekko</t>
  </si>
  <si>
    <t>Post_Hrekko</t>
  </si>
  <si>
    <t>Post_SV_mL</t>
  </si>
  <si>
    <t>Post_Q_Lmin</t>
  </si>
  <si>
    <t>Post_tidtilQ</t>
  </si>
  <si>
    <t>Pre_SV_mL</t>
  </si>
  <si>
    <t>Kardiorespiratorisk form-variabler</t>
  </si>
  <si>
    <t>VO2peak, ml/kg/min (VO2mlkgmin)</t>
  </si>
  <si>
    <t>VO2peak, L/min (VO2Lmin)</t>
  </si>
  <si>
    <t>Maks hjertefrekvens (HFmaks)</t>
  </si>
  <si>
    <t>Oksygenpuls (O2puls)</t>
  </si>
  <si>
    <t>RER (RERmaks)</t>
  </si>
  <si>
    <t>Laktat (Laktat)</t>
  </si>
  <si>
    <t>Ventilasjon (VEmaksL)</t>
  </si>
  <si>
    <t>Hjertevariabler fra stressekko</t>
  </si>
  <si>
    <t>Cardiac output</t>
  </si>
  <si>
    <t>HF fra stressekko</t>
  </si>
  <si>
    <t>Tid fra CPET til stressekko</t>
  </si>
  <si>
    <t>Lungefunksjon</t>
  </si>
  <si>
    <t>Maksimal voluntær ventilasjon (MVV_L)</t>
  </si>
  <si>
    <t xml:space="preserve">Blodvolum </t>
  </si>
  <si>
    <t>Mengde HB (g) (MengdeHB_gram)</t>
  </si>
  <si>
    <t>Kroppssammensetning</t>
  </si>
  <si>
    <t>Total lean mass, kg (TotalLeanMass_KG)</t>
  </si>
  <si>
    <t>Peripheral factors (Muskelvariabler)</t>
  </si>
  <si>
    <t>Type 1 fibre (MHC1)</t>
  </si>
  <si>
    <t>Type 2 fibre (MHC2)</t>
  </si>
  <si>
    <t>Cross-sectional area (fiberareal) (CSA)</t>
  </si>
  <si>
    <t>Andel type 1 fibre (Proportion MHC1)</t>
  </si>
  <si>
    <t>Andel type 2 fibre(Proportion MHC2)</t>
  </si>
  <si>
    <t>Capillaries per fiber (CAF)</t>
  </si>
  <si>
    <t>Capillaries per fiber area (CAFA)</t>
  </si>
  <si>
    <t>Citrate synthase (CS)</t>
  </si>
  <si>
    <t>3-hydroxyacyl-CoA-dehydrogenase (HADH)</t>
  </si>
  <si>
    <t>Leg lean mass, gram  (LegsLeanMass_gram)</t>
  </si>
  <si>
    <t>Deskriptive</t>
  </si>
  <si>
    <t>Cardiac</t>
  </si>
  <si>
    <t>cardiac output</t>
  </si>
  <si>
    <t>HR</t>
  </si>
  <si>
    <t>Pulmonary</t>
  </si>
  <si>
    <t>MVV</t>
  </si>
  <si>
    <t>Blood</t>
  </si>
  <si>
    <t>HB</t>
  </si>
  <si>
    <t>Muscle</t>
  </si>
  <si>
    <t>group</t>
  </si>
  <si>
    <t>Hoyde_pre</t>
  </si>
  <si>
    <t>Hoyde_post</t>
  </si>
  <si>
    <t>citrate synthase</t>
  </si>
  <si>
    <t>&gt;</t>
  </si>
  <si>
    <t>n</t>
  </si>
  <si>
    <t>alder_pre</t>
  </si>
  <si>
    <t>(mean</t>
  </si>
  <si>
    <t>(SD))</t>
  </si>
  <si>
    <t>bmi_pre</t>
  </si>
  <si>
    <t>usual</t>
  </si>
  <si>
    <t>exercise</t>
  </si>
  <si>
    <t>Non-cancer</t>
  </si>
  <si>
    <t>controls</t>
  </si>
  <si>
    <t>BCS</t>
  </si>
  <si>
    <t>care</t>
  </si>
  <si>
    <t>hoyde_pre</t>
  </si>
  <si>
    <t>vekt_pre</t>
  </si>
  <si>
    <t>variable</t>
  </si>
  <si>
    <t>estimate</t>
  </si>
  <si>
    <t>df</t>
  </si>
  <si>
    <t>conf.low</t>
  </si>
  <si>
    <t>conf.high</t>
  </si>
  <si>
    <t>p.value</t>
  </si>
  <si>
    <t>hoyde</t>
  </si>
  <si>
    <t>vekt</t>
  </si>
  <si>
    <t>bmi</t>
  </si>
  <si>
    <t>csa_mhc1</t>
  </si>
  <si>
    <t>csa_mhc2</t>
  </si>
  <si>
    <t>csa_total</t>
  </si>
  <si>
    <t>proportion_mhc1</t>
  </si>
  <si>
    <t>proportion_mhc2</t>
  </si>
  <si>
    <t>caf_mhc1</t>
  </si>
  <si>
    <t>caf_mhc2</t>
  </si>
  <si>
    <t>caf_total</t>
  </si>
  <si>
    <t>cafa_mhc1</t>
  </si>
  <si>
    <t>cafa_mhc2</t>
  </si>
  <si>
    <t>cafa_total</t>
  </si>
  <si>
    <t>cs</t>
  </si>
  <si>
    <t>hadh</t>
  </si>
  <si>
    <t>vo2lmin</t>
  </si>
  <si>
    <t>vo2mlkgmin</t>
  </si>
  <si>
    <t>laktat</t>
  </si>
  <si>
    <t>hfmaks</t>
  </si>
  <si>
    <t>o2puls</t>
  </si>
  <si>
    <t>borgs</t>
  </si>
  <si>
    <t>rer_maks</t>
  </si>
  <si>
    <t>ve_maks</t>
  </si>
  <si>
    <t>hr_ekko</t>
  </si>
  <si>
    <t>q_lmin</t>
  </si>
  <si>
    <t>sv_m_l</t>
  </si>
  <si>
    <t>tidtil_q</t>
  </si>
  <si>
    <t>mvv_l_min</t>
  </si>
  <si>
    <t>hb</t>
  </si>
  <si>
    <t>legs_lean</t>
  </si>
  <si>
    <t>tot_lean</t>
  </si>
  <si>
    <t>legs_lean_kg</t>
  </si>
  <si>
    <t>term</t>
  </si>
  <si>
    <t>estimate</t>
  </si>
  <si>
    <t>std.error</t>
  </si>
  <si>
    <t>statistic</t>
  </si>
  <si>
    <t>p.value</t>
  </si>
  <si>
    <t>conf.low</t>
  </si>
  <si>
    <t>conf.high</t>
  </si>
  <si>
    <t>variable</t>
  </si>
  <si>
    <t>df</t>
  </si>
  <si>
    <t>adjusted</t>
  </si>
  <si>
    <t>groupBCS exercise</t>
  </si>
  <si>
    <t>hoyde</t>
  </si>
  <si>
    <t>vekt</t>
  </si>
  <si>
    <t>bmi</t>
  </si>
  <si>
    <t>csa_mhc1</t>
  </si>
  <si>
    <t>csa_mhc2</t>
  </si>
  <si>
    <t>csa_total</t>
  </si>
  <si>
    <t>proportion_mhc1</t>
  </si>
  <si>
    <t>proportion_mhc2</t>
  </si>
  <si>
    <t>caf_mhc1</t>
  </si>
  <si>
    <t>caf_mhc2</t>
  </si>
  <si>
    <t>caf_total</t>
  </si>
  <si>
    <t>cafa_mhc1</t>
  </si>
  <si>
    <t>cafa_mhc2</t>
  </si>
  <si>
    <t>cafa_total</t>
  </si>
  <si>
    <t>cs</t>
  </si>
  <si>
    <t>hadh</t>
  </si>
  <si>
    <t>vo2lmin</t>
  </si>
  <si>
    <t>vo2mlkgmin</t>
  </si>
  <si>
    <t>laktat</t>
  </si>
  <si>
    <t>hfmaks</t>
  </si>
  <si>
    <t>o2puls</t>
  </si>
  <si>
    <t>borgs</t>
  </si>
  <si>
    <t>rer_maks</t>
  </si>
  <si>
    <t>ve_maks</t>
  </si>
  <si>
    <t>hr_ekko</t>
  </si>
  <si>
    <t>q_lmin</t>
  </si>
  <si>
    <t>sv_m_l</t>
  </si>
  <si>
    <t>tidtil_q</t>
  </si>
  <si>
    <t>mvv_l_min</t>
  </si>
  <si>
    <t>hb</t>
  </si>
  <si>
    <t>legs_lean</t>
  </si>
  <si>
    <t>tot_lean</t>
  </si>
  <si>
    <t>legs_lean_kg</t>
  </si>
  <si>
    <t>Age</t>
  </si>
  <si>
    <t>Baseline</t>
  </si>
  <si>
    <t>variable</t>
  </si>
  <si>
    <t>estimate</t>
  </si>
  <si>
    <t>df</t>
  </si>
  <si>
    <t>conf.low</t>
  </si>
  <si>
    <t>conf.high</t>
  </si>
  <si>
    <t>p.value</t>
  </si>
  <si>
    <t>domain</t>
  </si>
  <si>
    <t>p.adj</t>
  </si>
  <si>
    <t>hoyde</t>
  </si>
  <si>
    <t>body_comp</t>
  </si>
  <si>
    <t>vekt</t>
  </si>
  <si>
    <t>bmi</t>
  </si>
  <si>
    <t>csa_mhc1</t>
  </si>
  <si>
    <t>muscle</t>
  </si>
  <si>
    <t>csa_mhc2</t>
  </si>
  <si>
    <t>csa_total</t>
  </si>
  <si>
    <t>proportion_mhc1</t>
  </si>
  <si>
    <t>proportion_mhc2</t>
  </si>
  <si>
    <t>caf_mhc1</t>
  </si>
  <si>
    <t>caf_mhc2</t>
  </si>
  <si>
    <t>caf_total</t>
  </si>
  <si>
    <t>cafa_mhc1</t>
  </si>
  <si>
    <t>cafa_mhc2</t>
  </si>
  <si>
    <t>cafa_total</t>
  </si>
  <si>
    <t>cs</t>
  </si>
  <si>
    <t>hadh</t>
  </si>
  <si>
    <t>vo2lmin</t>
  </si>
  <si>
    <t>cardio</t>
  </si>
  <si>
    <t>vo2mlkgmin</t>
  </si>
  <si>
    <t>laktat</t>
  </si>
  <si>
    <t>hfmaks</t>
  </si>
  <si>
    <t>o2puls</t>
  </si>
  <si>
    <t>borgs</t>
  </si>
  <si>
    <t>rer_maks</t>
  </si>
  <si>
    <t>ve_maks</t>
  </si>
  <si>
    <t>hr_ekko</t>
  </si>
  <si>
    <t>q_lmin</t>
  </si>
  <si>
    <t>sv_m_l</t>
  </si>
  <si>
    <t>tidtil_q</t>
  </si>
  <si>
    <t>other</t>
  </si>
  <si>
    <t>mvv_l_min</t>
  </si>
  <si>
    <t>hb</t>
  </si>
  <si>
    <t>blood</t>
  </si>
  <si>
    <t>legs_lean</t>
  </si>
  <si>
    <t>tot_lean</t>
  </si>
  <si>
    <t>legs_lean_kg</t>
  </si>
  <si>
    <t>domain</t>
  </si>
  <si>
    <t>variable</t>
  </si>
  <si>
    <t>beta_ci</t>
  </si>
  <si>
    <t>p.value</t>
  </si>
  <si>
    <t>p.adj</t>
  </si>
  <si>
    <t>cohens_d</t>
  </si>
  <si>
    <t>d_magnitude</t>
  </si>
  <si>
    <t>blood</t>
  </si>
  <si>
    <t>hb</t>
  </si>
  <si>
    <t>-24.41 (-50.26, 1.43)</t>
  </si>
  <si>
    <t>medium</t>
  </si>
  <si>
    <t>cardio</t>
  </si>
  <si>
    <t>borgs</t>
  </si>
  <si>
    <t>-0.13 (-1.02, 0.75)</t>
  </si>
  <si>
    <t>trivial</t>
  </si>
  <si>
    <t>hfmaks</t>
  </si>
  <si>
    <t>0.80 (-2.93, 4.53)</t>
  </si>
  <si>
    <t>hr_ekko</t>
  </si>
  <si>
    <t>-6.03 (-15.01, 2.95)</t>
  </si>
  <si>
    <t>small</t>
  </si>
  <si>
    <t>laktat</t>
  </si>
  <si>
    <t>0.25 (-1.33, 1.83)</t>
  </si>
  <si>
    <t>mvv_l_min</t>
  </si>
  <si>
    <t>1.33 (-3.90, 6.56)</t>
  </si>
  <si>
    <t>o2puls</t>
  </si>
  <si>
    <t>-0.93 (-1.81, -0.05)</t>
  </si>
  <si>
    <t>q_lmin</t>
  </si>
  <si>
    <t>-1.08 (-2.06, -0.11)</t>
  </si>
  <si>
    <t>rer_maks</t>
  </si>
  <si>
    <t>-0.03 (-0.07, 0.01)</t>
  </si>
  <si>
    <t>sv_m_l</t>
  </si>
  <si>
    <t>-3.77 (-9.76, 2.22)</t>
  </si>
  <si>
    <t>ve_maks</t>
  </si>
  <si>
    <t>-8.71 (-17.06, -0.37)</t>
  </si>
  <si>
    <t>vo2lmin</t>
  </si>
  <si>
    <t>-0.16 (-0.31, 0.00)</t>
  </si>
  <si>
    <t>vo2mlkgmin</t>
  </si>
  <si>
    <t>-1.78 (-3.90, 0.33)</t>
  </si>
  <si>
    <t>muscle</t>
  </si>
  <si>
    <t>caf_mhc1</t>
  </si>
  <si>
    <t>-0.01 (-0.41, 0.39)</t>
  </si>
  <si>
    <t>caf_mhc2</t>
  </si>
  <si>
    <t>0.13 (-0.19, 0.46)</t>
  </si>
  <si>
    <t>caf_total</t>
  </si>
  <si>
    <t>0.10 (-0.25, 0.46)</t>
  </si>
  <si>
    <t>cafa_mhc1</t>
  </si>
  <si>
    <t>-0.01 (-0.14, 0.13)</t>
  </si>
  <si>
    <t>cafa_mhc2</t>
  </si>
  <si>
    <t>-0.07 (-0.20, 0.07)</t>
  </si>
  <si>
    <t>cafa_total</t>
  </si>
  <si>
    <t>-0.04 (-0.17, 0.09)</t>
  </si>
  <si>
    <t>cs</t>
  </si>
  <si>
    <t>-0.06 (-0.20, 0.09)</t>
  </si>
  <si>
    <t>csa_mhc1</t>
  </si>
  <si>
    <t>-308.67 (-959.81, 342.47)</t>
  </si>
  <si>
    <t>csa_mhc2</t>
  </si>
  <si>
    <t>4.39 (-368.55, 377.34)</t>
  </si>
  <si>
    <t>csa_total</t>
  </si>
  <si>
    <t>-80.38 (-549.49, 388.74)</t>
  </si>
  <si>
    <t>hadh</t>
  </si>
  <si>
    <t>-0.03 (-0.15, 0.10)</t>
  </si>
  <si>
    <t>proportion_mhc1</t>
  </si>
  <si>
    <t>5.54 (-2.88, 13.96)</t>
  </si>
  <si>
    <t>proportion_mhc2</t>
  </si>
  <si>
    <t>-5.54 (-13.96, 2.88)</t>
  </si>
  <si>
    <t>adjusted</t>
  </si>
  <si>
    <t>age</t>
  </si>
  <si>
    <t>7.40 (-11.45, 26.25)</t>
  </si>
  <si>
    <t>baseline_vo2</t>
  </si>
  <si>
    <t>4.79 (-16.31, 25.89)</t>
  </si>
  <si>
    <t>unadjusted</t>
  </si>
  <si>
    <t>3.14 (-17.02, 23.31)</t>
  </si>
  <si>
    <t>-0.65 (-1.98, 0.69)</t>
  </si>
  <si>
    <t>-0.82 (-2.01, 0.37)</t>
  </si>
  <si>
    <t>-0.82 (-1.99, 0.35)</t>
  </si>
  <si>
    <t>-0.88 (-6.22, 4.46)</t>
  </si>
  <si>
    <t>0.35 (-4.62, 5.32)</t>
  </si>
  <si>
    <t>0.18 (-4.78, 5.15)</t>
  </si>
  <si>
    <t>2.05 (-8.40, 12.50)</t>
  </si>
  <si>
    <t>3.42 (-6.39, 13.24)</t>
  </si>
  <si>
    <t>3.35 (-6.30, 13.00)</t>
  </si>
  <si>
    <t>-3.47 (-10.36, 3.42)</t>
  </si>
  <si>
    <t>-4.01 (-10.56, 2.54)</t>
  </si>
  <si>
    <t>-4.33 (-10.84, 2.17)</t>
  </si>
  <si>
    <t>3.53 (-2.69, 9.75)</t>
  </si>
  <si>
    <t>2.40 (-3.22, 8.02)</t>
  </si>
  <si>
    <t>2.08 (-3.68, 7.85)</t>
  </si>
  <si>
    <t>-0.30 (-1.22, 0.62)</t>
  </si>
  <si>
    <t>-0.50 (-1.31, 0.31)</t>
  </si>
  <si>
    <t>-0.44 (-1.29, 0.41)</t>
  </si>
  <si>
    <t>0.01 (-1.17, 1.19)</t>
  </si>
  <si>
    <t>0.30 (-0.84, 1.43)</t>
  </si>
  <si>
    <t>0.31 (-0.81, 1.42)</t>
  </si>
  <si>
    <t>0.04 (-0.00, 0.09)</t>
  </si>
  <si>
    <t>0.04 (0.00, 0.09)</t>
  </si>
  <si>
    <t>-0.62 (-9.01, 7.77)</t>
  </si>
  <si>
    <t>0.41 (-7.47, 8.29)</t>
  </si>
  <si>
    <t>0.51 (-7.24, 8.27)</t>
  </si>
  <si>
    <t>4.19 (-4.72, 13.09)</t>
  </si>
  <si>
    <t>2.61 (-5.68, 10.89)</t>
  </si>
  <si>
    <t>2.61 (-5.54, 10.76)</t>
  </si>
  <si>
    <t>-0.07 (-0.22, 0.07)</t>
  </si>
  <si>
    <t>-0.10 (-0.23, 0.03)</t>
  </si>
  <si>
    <t>-0.09 (-0.22, 0.04)</t>
  </si>
  <si>
    <t>-1.25 (-3.23, 0.74)</t>
  </si>
  <si>
    <t>-1.53 (-3.33, 0.27)</t>
  </si>
  <si>
    <t>-1.46 (-3.27, 0.34)</t>
  </si>
  <si>
    <t>-0.38 (-0.90, 0.13)</t>
  </si>
  <si>
    <t>-0.30 (-0.73, 0.13)</t>
  </si>
  <si>
    <t>-0.29 (-0.74, 0.17)</t>
  </si>
  <si>
    <t>-0.37 (-0.80, 0.06)</t>
  </si>
  <si>
    <t>-0.30 (-0.63, 0.03)</t>
  </si>
  <si>
    <t>-0.28 (-0.65, 0.10)</t>
  </si>
  <si>
    <t>-0.43 (-0.92, 0.05)</t>
  </si>
  <si>
    <t>-0.31 (-0.70, 0.08)</t>
  </si>
  <si>
    <t>-0.29 (-0.72, 0.14)</t>
  </si>
  <si>
    <t>0.04 (-0.11, 0.19)</t>
  </si>
  <si>
    <t>-0.02 (-0.15, 0.12)</t>
  </si>
  <si>
    <t>-0.06 (-0.25, 0.13)</t>
  </si>
  <si>
    <t>-0.09 (-0.26, 0.08)</t>
  </si>
  <si>
    <t>-0.09 (-0.25, 0.08)</t>
  </si>
  <si>
    <t>0.01 (-0.16, 0.17)</t>
  </si>
  <si>
    <t>-0.04 (-0.19, 0.11)</t>
  </si>
  <si>
    <t>-0.26 (-0.47, -0.05)</t>
  </si>
  <si>
    <t>large</t>
  </si>
  <si>
    <t>-0.21 (-0.39, -0.02)</t>
  </si>
  <si>
    <t>-0.23 (-0.42, -0.04)</t>
  </si>
  <si>
    <t>-725.64 (-1555.13, 103.85)</t>
  </si>
  <si>
    <t>-435.68 (-1189.52, 318.15)</t>
  </si>
  <si>
    <t>-427.11 (-1171.96, 317.74)</t>
  </si>
  <si>
    <t>-352.66 (-946.36, 241.04)</t>
  </si>
  <si>
    <t>-244.74 (-769.44, 279.95)</t>
  </si>
  <si>
    <t>-237.46 (-757.25, 282.33)</t>
  </si>
  <si>
    <t>-639.61 (-1332.77, 53.55)</t>
  </si>
  <si>
    <t>-390.21 (-1018.34, 237.92)</t>
  </si>
  <si>
    <t>-379.88 (-1004.13, 244.37)</t>
  </si>
  <si>
    <t>-0.25 (-0.45, -0.05)</t>
  </si>
  <si>
    <t>-0.24 (-0.43, -0.06)</t>
  </si>
  <si>
    <t>-0.26 (-0.44, -0.07)</t>
  </si>
  <si>
    <t>-5.26 (-17.02, 6.49)</t>
  </si>
  <si>
    <t>-1.39 (-11.90, 9.12)</t>
  </si>
  <si>
    <t>-1.16 (-11.69, 9.37)</t>
  </si>
  <si>
    <t>5.26 (-6.49, 17.02)</t>
  </si>
  <si>
    <t>1.39 (-9.12, 11.90)</t>
  </si>
  <si>
    <t>1.16 (-9.37, 11.69)</t>
  </si>
  <si>
    <t>domain</t>
  </si>
  <si>
    <t>variable</t>
  </si>
  <si>
    <t>n (BCS exercise)</t>
  </si>
  <si>
    <t>Pre (BCS exercise)</t>
  </si>
  <si>
    <t>Post (BCS exercise)</t>
  </si>
  <si>
    <t>n (BCS usual care)</t>
  </si>
  <si>
    <t>Pre (BCS usual care)</t>
  </si>
  <si>
    <t>Post (BCS usual care)</t>
  </si>
  <si>
    <t>n (Non-cancer)</t>
  </si>
  <si>
    <t>Pre (Non-cancer)</t>
  </si>
  <si>
    <t>Post (Non-cancer)</t>
  </si>
  <si>
    <t>p (Ex vs UC)</t>
  </si>
  <si>
    <t>p.adj (Ex vs UC)</t>
  </si>
  <si>
    <t>p (Ex vs Non-cancer)</t>
  </si>
  <si>
    <t>p.adj (Ex vs Non-cancer)</t>
  </si>
  <si>
    <t>Blood</t>
  </si>
  <si>
    <t>Haemoglobin mass (g)</t>
  </si>
  <si>
    <t>629.4 +/- 74.5</t>
  </si>
  <si>
    <t>644.5 +/- 71.8</t>
  </si>
  <si>
    <t>634.9 +/- 87.9</t>
  </si>
  <si>
    <t>632.5 +/- 73.2</t>
  </si>
  <si>
    <t>609.5 +/- 85.5</t>
  </si>
  <si>
    <t>621.8 +/- 81.1</t>
  </si>
  <si>
    <t>Body composition</t>
  </si>
  <si>
    <t>BMI (kg/m2)</t>
  </si>
  <si>
    <t>26.6 +/- 4.3</t>
  </si>
  <si>
    <t>26.6 +/- 4.4</t>
  </si>
  <si>
    <t>28.1 +/- 4.7</t>
  </si>
  <si>
    <t>27.8 +/- 4.6</t>
  </si>
  <si>
    <t>26.4 +/- 4.5</t>
  </si>
  <si>
    <t>Height (cm)</t>
  </si>
  <si>
    <t>166.6 +/- 5.6</t>
  </si>
  <si>
    <t>166.9 +/- 5.6</t>
  </si>
  <si>
    <t>168.6 +/- 6.1</t>
  </si>
  <si>
    <t>168.7 +/- 6.2</t>
  </si>
  <si>
    <t>168.5 +/- 4.7</t>
  </si>
  <si>
    <t>168.8 +/- 4.7</t>
  </si>
  <si>
    <t>Leg lean mass (g)</t>
  </si>
  <si>
    <t>14807.8 +/- 1686.4</t>
  </si>
  <si>
    <t>14875.5 +/- 1649.4</t>
  </si>
  <si>
    <t>16043.1 +/- 2068.8</t>
  </si>
  <si>
    <t>15637.5 +/- 1885.5</t>
  </si>
  <si>
    <t>15154.2 +/- 1940.5</t>
  </si>
  <si>
    <t>15339.1 +/- 1994.3</t>
  </si>
  <si>
    <t>Leg lean mass (kg)</t>
  </si>
  <si>
    <t>14.8 +/- 1.7</t>
  </si>
  <si>
    <t>14.9 +/- 1.6</t>
  </si>
  <si>
    <t>16.0 +/- 2.1</t>
  </si>
  <si>
    <t>15.6 +/- 1.9</t>
  </si>
  <si>
    <t>15.2 +/- 1.9</t>
  </si>
  <si>
    <t>15.3 +/- 2.0</t>
  </si>
  <si>
    <t>Total lean mass (kg)</t>
  </si>
  <si>
    <t>42.7 +/- 4.0</t>
  </si>
  <si>
    <t>42.8 +/- 3.8</t>
  </si>
  <si>
    <t>43.9 +/- 4.6</t>
  </si>
  <si>
    <t>44.2 +/- 4.1</t>
  </si>
  <si>
    <t>43.3 +/- 4.0</t>
  </si>
  <si>
    <t>43.5 +/- 4.3</t>
  </si>
  <si>
    <t>Body weight (kg)</t>
  </si>
  <si>
    <t>73.8 +/- 11.5</t>
  </si>
  <si>
    <t>73.9 +/- 11.7</t>
  </si>
  <si>
    <t>79.5 +/- 12.9</t>
  </si>
  <si>
    <t>78.8 +/- 12.4</t>
  </si>
  <si>
    <t>75.5 +/- 12.5</t>
  </si>
  <si>
    <t>75.2 +/- 12.9</t>
  </si>
  <si>
    <t>Cardiorespiratory</t>
  </si>
  <si>
    <t>Borg RPE</t>
  </si>
  <si>
    <t>17.5 +/- 1.2</t>
  </si>
  <si>
    <t>17.6 +/- 1.0</t>
  </si>
  <si>
    <t>17.8 +/- 1.1</t>
  </si>
  <si>
    <t>17.4 +/- 1.3</t>
  </si>
  <si>
    <t>18.1 +/- 1.4</t>
  </si>
  <si>
    <t>18.6 +/- 1.0</t>
  </si>
  <si>
    <t>HRmax (bpm)</t>
  </si>
  <si>
    <t>176.4 +/- 11.9</t>
  </si>
  <si>
    <t>173.4 +/- 11.1</t>
  </si>
  <si>
    <t>172.9 +/- 11.1</t>
  </si>
  <si>
    <t>171.9 +/- 9.8</t>
  </si>
  <si>
    <t>176.4 +/- 8.8</t>
  </si>
  <si>
    <t>173.8 +/- 7.8</t>
  </si>
  <si>
    <t>HR echo (bpm)</t>
  </si>
  <si>
    <t>149.2 +/- 13.4</t>
  </si>
  <si>
    <t>142.0 +/- 14.2</t>
  </si>
  <si>
    <t>136.8 +/- 18.9</t>
  </si>
  <si>
    <t>130.2 +/- 15.0</t>
  </si>
  <si>
    <t>142.5 +/- 13.2</t>
  </si>
  <si>
    <t>131.6 +/- 14.6</t>
  </si>
  <si>
    <t>Lactate (mmol/L)</t>
  </si>
  <si>
    <t>9.1 +/- 2.1</t>
  </si>
  <si>
    <t>8.8 +/- 2.2</t>
  </si>
  <si>
    <t>9.0 +/- 2.5</t>
  </si>
  <si>
    <t>9.0 +/- 2.7</t>
  </si>
  <si>
    <t>9.5 +/- 1.8</t>
  </si>
  <si>
    <t>12.9 +/- 12.9</t>
  </si>
  <si>
    <t>MVV (L/min)</t>
  </si>
  <si>
    <t>114.4 +/- 18.4</t>
  </si>
  <si>
    <t>114.7 +/- 21.7</t>
  </si>
  <si>
    <t>105.4 +/- 17.7</t>
  </si>
  <si>
    <t>106.1 +/- 16.5</t>
  </si>
  <si>
    <t>114.0 +/- 20.1</t>
  </si>
  <si>
    <t>111.5 +/- 17.5</t>
  </si>
  <si>
    <t>O2 pulse (mL/beat)</t>
  </si>
  <si>
    <t>12.3 +/- 1.5</t>
  </si>
  <si>
    <t>13.1 +/- 1.5</t>
  </si>
  <si>
    <t>12.6 +/- 1.8</t>
  </si>
  <si>
    <t>12.4 +/- 1.3</t>
  </si>
  <si>
    <t>12.9 +/- 2.1</t>
  </si>
  <si>
    <t>14.2 +/- 1.5</t>
  </si>
  <si>
    <t>Cardiac output (L/min)</t>
  </si>
  <si>
    <t>11.8 +/- 1.6</t>
  </si>
  <si>
    <t>11.7 +/- 1.5</t>
  </si>
  <si>
    <t>10.9 +/- 1.4</t>
  </si>
  <si>
    <t>10.3 +/- 1.3</t>
  </si>
  <si>
    <t>11.0 +/- 1.2</t>
  </si>
  <si>
    <t>10.7 +/- 1.9</t>
  </si>
  <si>
    <t>RERmax</t>
  </si>
  <si>
    <t>1.2 +/- 0.1</t>
  </si>
  <si>
    <t>Stroke volume (mL)</t>
  </si>
  <si>
    <t>79.1 +/- 10.7</t>
  </si>
  <si>
    <t>83.0 +/- 9.7</t>
  </si>
  <si>
    <t>80.6 +/- 8.9</t>
  </si>
  <si>
    <t>79.0 +/- 6.2</t>
  </si>
  <si>
    <t>77.9 +/- 10.0</t>
  </si>
  <si>
    <t>81.3 +/- 11.8</t>
  </si>
  <si>
    <t>VEmax (L/min)</t>
  </si>
  <si>
    <t>82.5 +/- 15.0</t>
  </si>
  <si>
    <t>90.3 +/- 15.3</t>
  </si>
  <si>
    <t>79.7 +/- 15.8</t>
  </si>
  <si>
    <t>79.9 +/- 12.9</t>
  </si>
  <si>
    <t>87.1 +/- 11.7</t>
  </si>
  <si>
    <t>92.3 +/- 15.1</t>
  </si>
  <si>
    <t>VO2peak (L/min)</t>
  </si>
  <si>
    <t>2.2 +/- 0.3</t>
  </si>
  <si>
    <t>2.3 +/- 0.3</t>
  </si>
  <si>
    <t>2.1 +/- 0.3</t>
  </si>
  <si>
    <t>2.5 +/- 0.3</t>
  </si>
  <si>
    <t>VO2peak (ml/kg/min)</t>
  </si>
  <si>
    <t>29.9 +/- 5.3</t>
  </si>
  <si>
    <t>31.3 +/- 5.4</t>
  </si>
  <si>
    <t>27.9 +/- 5.6</t>
  </si>
  <si>
    <t>27.8 +/- 5.9</t>
  </si>
  <si>
    <t>30.7 +/- 5.9</t>
  </si>
  <si>
    <t>33.5 +/- 6.3</t>
  </si>
  <si>
    <t>Muscle</t>
  </si>
  <si>
    <t>CAF type I</t>
  </si>
  <si>
    <t>3.8 +/- 0.8</t>
  </si>
  <si>
    <t>3.6 +/- 0.5</t>
  </si>
  <si>
    <t>3.7 +/- 0.7</t>
  </si>
  <si>
    <t>3.6 +/- 0.7</t>
  </si>
  <si>
    <t>4.0 +/- 0.7</t>
  </si>
  <si>
    <t>CAF type II</t>
  </si>
  <si>
    <t>2.8 +/- 0.5</t>
  </si>
  <si>
    <t>2.7 +/- 0.5</t>
  </si>
  <si>
    <t>2.8 +/- 0.7</t>
  </si>
  <si>
    <t>2.8 +/- 0.6</t>
  </si>
  <si>
    <t>3.1 +/- 0.5</t>
  </si>
  <si>
    <t>CAF total</t>
  </si>
  <si>
    <t>3.2 +/- 0.7</t>
  </si>
  <si>
    <t>3.2 +/- 0.5</t>
  </si>
  <si>
    <t>3.2 +/- 0.8</t>
  </si>
  <si>
    <t>3.6 +/- 0.6</t>
  </si>
  <si>
    <t>CAFA type I</t>
  </si>
  <si>
    <t>1.0 +/- 0.2</t>
  </si>
  <si>
    <t>0.9 +/- 0.2</t>
  </si>
  <si>
    <t>CAFA type II</t>
  </si>
  <si>
    <t>1.1 +/- 0.3</t>
  </si>
  <si>
    <t>CAFA total</t>
  </si>
  <si>
    <t>0.9 +/- 0.1</t>
  </si>
  <si>
    <t>Citrate synthase</t>
  </si>
  <si>
    <t>1.0 +/- 0.3</t>
  </si>
  <si>
    <t>0.9 +/- 0.3</t>
  </si>
  <si>
    <t>0.8 +/- 0.3</t>
  </si>
  <si>
    <t>1.3 +/- 0.5</t>
  </si>
  <si>
    <t>CSA type I (um2)</t>
  </si>
  <si>
    <t>3945.2 +/- 1195.3</t>
  </si>
  <si>
    <t>4173.6 +/- 1242.3</t>
  </si>
  <si>
    <t>4517.9 +/- 1342.1</t>
  </si>
  <si>
    <t>4202.2 +/- 891.0</t>
  </si>
  <si>
    <t>3815.0 +/- 721.4</t>
  </si>
  <si>
    <t>4470.4 +/- 1421.6</t>
  </si>
  <si>
    <t>CSA type II (um2)</t>
  </si>
  <si>
    <t>2762.2 +/- 708.0</t>
  </si>
  <si>
    <t>2867.2 +/- 708.3</t>
  </si>
  <si>
    <t>3396.1 +/- 1235.4</t>
  </si>
  <si>
    <t>3229.0 +/- 719.5</t>
  </si>
  <si>
    <t>2949.4 +/- 564.9</t>
  </si>
  <si>
    <t>3291.8 +/- 1133.1</t>
  </si>
  <si>
    <t>CSA total (um2)</t>
  </si>
  <si>
    <t>3276.4 +/- 832.6</t>
  </si>
  <si>
    <t>3413.0 +/- 804.6</t>
  </si>
  <si>
    <t>3858.5 +/- 1177.4</t>
  </si>
  <si>
    <t>3655.7 +/- 792.1</t>
  </si>
  <si>
    <t>3417.9 +/- 518.2</t>
  </si>
  <si>
    <t>3934.3 +/- 1213.5</t>
  </si>
  <si>
    <t>HADH</t>
  </si>
  <si>
    <t>1.2 +/- 0.3</t>
  </si>
  <si>
    <t>1.4 +/- 0.5</t>
  </si>
  <si>
    <t>Fibre type I (%)</t>
  </si>
  <si>
    <t>42.9 +/- 11.0</t>
  </si>
  <si>
    <t>41.2 +/- 10.0</t>
  </si>
  <si>
    <t>40.6 +/- 9.2</t>
  </si>
  <si>
    <t>46.4 +/- 11.8</t>
  </si>
  <si>
    <t>49.3 +/- 12.5</t>
  </si>
  <si>
    <t>48.8 +/- 16.2</t>
  </si>
  <si>
    <t>Fibre type II (%)</t>
  </si>
  <si>
    <t>57.1 +/- 11.0</t>
  </si>
  <si>
    <t>58.8 +/- 10.0</t>
  </si>
  <si>
    <t>59.4 +/- 9.2</t>
  </si>
  <si>
    <t>53.6 +/- 11.8</t>
  </si>
  <si>
    <t>50.7 +/- 12.5</t>
  </si>
  <si>
    <t>51.2 +/- 16.2</t>
  </si>
  <si>
    <t>variable</t>
  </si>
  <si>
    <t>BCS exercise</t>
  </si>
  <si>
    <t>BCS usual care</t>
  </si>
  <si>
    <t>p.value</t>
  </si>
  <si>
    <t>method</t>
  </si>
  <si>
    <t>sw_p_g1</t>
  </si>
  <si>
    <t>sw_p_g2</t>
  </si>
  <si>
    <t>comparison</t>
  </si>
  <si>
    <t>vo2lmin</t>
  </si>
  <si>
    <t>2.2 +/- 0.3</t>
  </si>
  <si>
    <t>t-test</t>
  </si>
  <si>
    <t>BCS exercise vs BCS usual care</t>
  </si>
  <si>
    <t>vo2mlkgmin</t>
  </si>
  <si>
    <t>29.9 +/- 5.3</t>
  </si>
  <si>
    <t>27.9 +/- 5.6</t>
  </si>
  <si>
    <t>laktat</t>
  </si>
  <si>
    <t>9.1 +/- 2.1</t>
  </si>
  <si>
    <t>9.0 +/- 2.5</t>
  </si>
  <si>
    <t>hfmaks</t>
  </si>
  <si>
    <t>176.4 +/- 11.9</t>
  </si>
  <si>
    <t>172.9 +/- 11.1</t>
  </si>
  <si>
    <t>o2puls</t>
  </si>
  <si>
    <t>12.3 +/- 1.5</t>
  </si>
  <si>
    <t>12.6 +/- 1.8</t>
  </si>
  <si>
    <t>Mann-Whitney</t>
  </si>
  <si>
    <t>borgs</t>
  </si>
  <si>
    <t>17.5 +/- 1.2</t>
  </si>
  <si>
    <t>17.8 +/- 1.1</t>
  </si>
  <si>
    <t>rer_maks</t>
  </si>
  <si>
    <t>1.2 +/- 0.1</t>
  </si>
  <si>
    <t>ve_maks</t>
  </si>
  <si>
    <t>82.5 +/- 15.0</t>
  </si>
  <si>
    <t>79.7 +/- 15.8</t>
  </si>
  <si>
    <t>hr_ekko</t>
  </si>
  <si>
    <t>149.2 +/- 13.4</t>
  </si>
  <si>
    <t>136.8 +/- 18.9</t>
  </si>
  <si>
    <t>q_lmin</t>
  </si>
  <si>
    <t>11.8 +/- 1.6</t>
  </si>
  <si>
    <t>10.9 +/- 1.4</t>
  </si>
  <si>
    <t>sv_m_l</t>
  </si>
  <si>
    <t>79.1 +/- 10.7</t>
  </si>
  <si>
    <t>80.6 +/- 8.9</t>
  </si>
  <si>
    <t>mvv_l_min</t>
  </si>
  <si>
    <t>114.4 +/- 18.4</t>
  </si>
  <si>
    <t>105.4 +/- 17.7</t>
  </si>
  <si>
    <t>csa_mhc1</t>
  </si>
  <si>
    <t>3945.2 +/- 1195.3</t>
  </si>
  <si>
    <t>4517.9 +/- 1342.1</t>
  </si>
  <si>
    <t>csa_mhc2</t>
  </si>
  <si>
    <t>2762.2 +/- 708.0</t>
  </si>
  <si>
    <t>3396.1 +/- 1235.4</t>
  </si>
  <si>
    <t>csa_total</t>
  </si>
  <si>
    <t>3276.4 +/- 832.6</t>
  </si>
  <si>
    <t>3858.5 +/- 1177.4</t>
  </si>
  <si>
    <t>proportion_mhc1</t>
  </si>
  <si>
    <t>42.9 +/- 11.0</t>
  </si>
  <si>
    <t>40.6 +/- 9.2</t>
  </si>
  <si>
    <t>proportion_mhc2</t>
  </si>
  <si>
    <t>57.1 +/- 11.0</t>
  </si>
  <si>
    <t>59.4 +/- 9.2</t>
  </si>
  <si>
    <t>caf_mhc1</t>
  </si>
  <si>
    <t>3.8 +/- 0.8</t>
  </si>
  <si>
    <t>3.6 +/- 0.5</t>
  </si>
  <si>
    <t>caf_mhc2</t>
  </si>
  <si>
    <t>2.8 +/- 0.5</t>
  </si>
  <si>
    <t>2.7 +/- 0.5</t>
  </si>
  <si>
    <t>caf_total</t>
  </si>
  <si>
    <t>3.2 +/- 0.7</t>
  </si>
  <si>
    <t>3.1 +/- 0.5</t>
  </si>
  <si>
    <t>cafa_mhc1</t>
  </si>
  <si>
    <t>1.0 +/- 0.2</t>
  </si>
  <si>
    <t>0.9 +/- 0.2</t>
  </si>
  <si>
    <t>cafa_mhc2</t>
  </si>
  <si>
    <t>1.1 +/- 0.3</t>
  </si>
  <si>
    <t>cafa_total</t>
  </si>
  <si>
    <t>cs</t>
  </si>
  <si>
    <t>0.9 +/- 0.3</t>
  </si>
  <si>
    <t>hadh</t>
  </si>
  <si>
    <t>hb</t>
  </si>
  <si>
    <t>629.4 +/- 74.5</t>
  </si>
  <si>
    <t>634.9 +/- 87.9</t>
  </si>
  <si>
    <t>vekt</t>
  </si>
  <si>
    <t>73.8 +/- 11.5</t>
  </si>
  <si>
    <t>79.5 +/- 12.9</t>
  </si>
  <si>
    <t>bmi</t>
  </si>
  <si>
    <t>26.6 +/- 4.3</t>
  </si>
  <si>
    <t>28.1 +/- 4.7</t>
  </si>
  <si>
    <t>hoyde</t>
  </si>
  <si>
    <t>166.6 +/- 5.6</t>
  </si>
  <si>
    <t>168.6 +/- 6.1</t>
  </si>
  <si>
    <t>tot_lean</t>
  </si>
  <si>
    <t>42.7 +/- 4.0</t>
  </si>
  <si>
    <t>43.9 +/- 4.6</t>
  </si>
  <si>
    <t>legs_lean</t>
  </si>
  <si>
    <t>14807.8 +/- 1686.4</t>
  </si>
  <si>
    <t>16043.1 +/- 2068.8</t>
  </si>
  <si>
    <t>legs_lean_kg</t>
  </si>
  <si>
    <t>14.8 +/- 1.7</t>
  </si>
  <si>
    <t>16.0 +/- 2.1</t>
  </si>
  <si>
    <t>Non-cancer controls</t>
  </si>
  <si>
    <t>Welch ANOVA</t>
  </si>
  <si>
    <t>2.3 +/- 0.3</t>
  </si>
  <si>
    <t>30.7 +/- 5.9</t>
  </si>
  <si>
    <t>9.5 +/- 1.8</t>
  </si>
  <si>
    <t>176.4 +/- 8.8</t>
  </si>
  <si>
    <t>Kruskal-Wallis</t>
  </si>
  <si>
    <t>12.9 +/- 2.1</t>
  </si>
  <si>
    <t>18.1 +/- 1.4</t>
  </si>
  <si>
    <t>87.1 +/- 11.7</t>
  </si>
  <si>
    <t>142.5 +/- 13.2</t>
  </si>
  <si>
    <t>11.0 +/- 1.2</t>
  </si>
  <si>
    <t>77.9 +/- 10.0</t>
  </si>
  <si>
    <t>114.0 +/- 20.1</t>
  </si>
  <si>
    <t>3815.0 +/- 721.4</t>
  </si>
  <si>
    <t>2949.4 +/- 564.9</t>
  </si>
  <si>
    <t>3417.9 +/- 518.2</t>
  </si>
  <si>
    <t>49.3 +/- 12.5</t>
  </si>
  <si>
    <t>50.7 +/- 12.5</t>
  </si>
  <si>
    <t>3.6 +/- 0.7</t>
  </si>
  <si>
    <t>2.8 +/- 0.6</t>
  </si>
  <si>
    <t>1.2 +/- 0.3</t>
  </si>
  <si>
    <t>609.5 +/- 85.5</t>
  </si>
  <si>
    <t>75.5 +/- 12.5</t>
  </si>
  <si>
    <t>168.5 +/- 4.7</t>
  </si>
  <si>
    <t>43.3 +/- 4.0</t>
  </si>
  <si>
    <t>15154.2 +/- 1940.5</t>
  </si>
  <si>
    <t>15.2 +/- 1.9</t>
  </si>
  <si>
    <t>BCS Exercise</t>
  </si>
  <si>
    <t>Non-cancer control</t>
  </si>
  <si>
    <t>Post</t>
  </si>
  <si>
    <t>Pre</t>
  </si>
  <si>
    <t>±</t>
  </si>
  <si>
    <t>629.4 ± 74.5</t>
  </si>
  <si>
    <t>644.5 ± 71.8</t>
  </si>
  <si>
    <t>634.9 ± 87.9</t>
  </si>
  <si>
    <t>632.5 ± 73.2</t>
  </si>
  <si>
    <t>609.5 ± 85.5</t>
  </si>
  <si>
    <t>621.8 ± 81.1</t>
  </si>
  <si>
    <t>26.6 ± 4.3</t>
  </si>
  <si>
    <t>26.6 ± 4.4</t>
  </si>
  <si>
    <t>28.1 ± 4.7</t>
  </si>
  <si>
    <t>27.8 ± 4.6</t>
  </si>
  <si>
    <t>26.4 ± 4.5</t>
  </si>
  <si>
    <t>166.6 ± 5.6</t>
  </si>
  <si>
    <t>166.9 ± 5.6</t>
  </si>
  <si>
    <t>168.6 ± 6.1</t>
  </si>
  <si>
    <t>168.7 ± 6.2</t>
  </si>
  <si>
    <t>168.5 ± 4.7</t>
  </si>
  <si>
    <t>168.8 ± 4.7</t>
  </si>
  <si>
    <t>14.8 ± 1.7</t>
  </si>
  <si>
    <t>14.9 ± 1.6</t>
  </si>
  <si>
    <t>16.0 ± 2.1</t>
  </si>
  <si>
    <t>15.6 ± 1.9</t>
  </si>
  <si>
    <t>15.2 ± 1.9</t>
  </si>
  <si>
    <t>15.3 ± 2.0</t>
  </si>
  <si>
    <t>42.7 ± 4.0</t>
  </si>
  <si>
    <t>42.8 ± 3.8</t>
  </si>
  <si>
    <t>43.9 ± 4.6</t>
  </si>
  <si>
    <t>44.2 ± 4.1</t>
  </si>
  <si>
    <t>43.3 ± 4.0</t>
  </si>
  <si>
    <t>43.5 ± 4.3</t>
  </si>
  <si>
    <t>73.8 ± 11.5</t>
  </si>
  <si>
    <t>73.9 ± 11.7</t>
  </si>
  <si>
    <t>79.5 ± 12.9</t>
  </si>
  <si>
    <t>78.8 ± 12.4</t>
  </si>
  <si>
    <t>75.5 ± 12.5</t>
  </si>
  <si>
    <t>75.2 ± 12.9</t>
  </si>
  <si>
    <t>17.5 ± 1.2</t>
  </si>
  <si>
    <t>17.6 ± 1.0</t>
  </si>
  <si>
    <t>17.8 ± 1.1</t>
  </si>
  <si>
    <t>17.4 ± 1.3</t>
  </si>
  <si>
    <t>18.1 ± 1.4</t>
  </si>
  <si>
    <t>18.6 ± 1.0</t>
  </si>
  <si>
    <t>176.4 ± 11.9</t>
  </si>
  <si>
    <t>173.4 ± 11.1</t>
  </si>
  <si>
    <t>172.9 ± 11.1</t>
  </si>
  <si>
    <t>171.9 ± 9.8</t>
  </si>
  <si>
    <t>176.4 ± 8.8</t>
  </si>
  <si>
    <t>173.8 ± 7.8</t>
  </si>
  <si>
    <t>149.2 ± 13.4</t>
  </si>
  <si>
    <t>142.0 ± 14.2</t>
  </si>
  <si>
    <t>136.8 ± 18.9</t>
  </si>
  <si>
    <t>130.2 ± 15.0</t>
  </si>
  <si>
    <t>142.5 ± 13.2</t>
  </si>
  <si>
    <t>131.6 ± 14.6</t>
  </si>
  <si>
    <t>9.1 ± 2.1</t>
  </si>
  <si>
    <t>8.8 ± 2.2</t>
  </si>
  <si>
    <t>9.0 ± 2.5</t>
  </si>
  <si>
    <t>9.0 ± 2.7</t>
  </si>
  <si>
    <t>9.5 ± 1.8</t>
  </si>
  <si>
    <t>12.9 ± 12.9</t>
  </si>
  <si>
    <t>114.4 ± 18.4</t>
  </si>
  <si>
    <t>114.7 ± 21.7</t>
  </si>
  <si>
    <t>105.4 ± 17.7</t>
  </si>
  <si>
    <t>106.1 ± 16.5</t>
  </si>
  <si>
    <t>114.0 ± 20.1</t>
  </si>
  <si>
    <t>111.5 ± 17.5</t>
  </si>
  <si>
    <t>12.3 ± 1.5</t>
  </si>
  <si>
    <t>13.1 ± 1.5</t>
  </si>
  <si>
    <t>12.6 ± 1.8</t>
  </si>
  <si>
    <t>12.4 ± 1.3</t>
  </si>
  <si>
    <t>12.9 ± 2.1</t>
  </si>
  <si>
    <t>14.2 ± 1.5</t>
  </si>
  <si>
    <t>11.8 ± 1.6</t>
  </si>
  <si>
    <t>11.7 ± 1.5</t>
  </si>
  <si>
    <t>10.9 ± 1.4</t>
  </si>
  <si>
    <t>10.3 ± 1.3</t>
  </si>
  <si>
    <t>11.0 ± 1.2</t>
  </si>
  <si>
    <t>10.7 ± 1.9</t>
  </si>
  <si>
    <t>1.2 ± 0.1</t>
  </si>
  <si>
    <t>79.1 ± 10.7</t>
  </si>
  <si>
    <t>83.0 ± 9.7</t>
  </si>
  <si>
    <t>80.6 ± 8.9</t>
  </si>
  <si>
    <t>79.0 ± 6.2</t>
  </si>
  <si>
    <t>77.9 ± 10.0</t>
  </si>
  <si>
    <t>81.3 ± 11.8</t>
  </si>
  <si>
    <t>82.5 ± 15.0</t>
  </si>
  <si>
    <t>90.3 ± 15.3</t>
  </si>
  <si>
    <t>79.7 ± 15.8</t>
  </si>
  <si>
    <t>79.9 ± 12.9</t>
  </si>
  <si>
    <t>87.1 ± 11.7</t>
  </si>
  <si>
    <t>92.3 ± 15.1</t>
  </si>
  <si>
    <t>2.2 ± 0.3</t>
  </si>
  <si>
    <t>2.3 ± 0.3</t>
  </si>
  <si>
    <t>2.1 ± 0.3</t>
  </si>
  <si>
    <t>2.5 ± 0.3</t>
  </si>
  <si>
    <t>29.9 ± 5.3</t>
  </si>
  <si>
    <t>31.3 ± 5.4</t>
  </si>
  <si>
    <t>27.9 ± 5.6</t>
  </si>
  <si>
    <t>27.8 ± 5.9</t>
  </si>
  <si>
    <t>30.7 ± 5.9</t>
  </si>
  <si>
    <t>33.5 ± 6.3</t>
  </si>
  <si>
    <t>3.8 ± 0.8</t>
  </si>
  <si>
    <t>3.6 ± 0.5</t>
  </si>
  <si>
    <t>3.7 ± 0.7</t>
  </si>
  <si>
    <t>3.6 ± 0.7</t>
  </si>
  <si>
    <t>4.0 ± 0.7</t>
  </si>
  <si>
    <t>2.8 ± 0.5</t>
  </si>
  <si>
    <t>2.7 ± 0.5</t>
  </si>
  <si>
    <t>2.8 ± 0.7</t>
  </si>
  <si>
    <t>2.8 ± 0.6</t>
  </si>
  <si>
    <t>3.1 ± 0.5</t>
  </si>
  <si>
    <t>3.2 ± 0.7</t>
  </si>
  <si>
    <t>3.2 ± 0.5</t>
  </si>
  <si>
    <t>3.2 ± 0.8</t>
  </si>
  <si>
    <t>3.6 ± 0.6</t>
  </si>
  <si>
    <t>1.0 ± 0.2</t>
  </si>
  <si>
    <t>0.9 ± 0.2</t>
  </si>
  <si>
    <t>1.1 ± 0.3</t>
  </si>
  <si>
    <t>0.9 ± 0.1</t>
  </si>
  <si>
    <t>1.0 ± 0.3</t>
  </si>
  <si>
    <t>0.9 ± 0.3</t>
  </si>
  <si>
    <t>0.8 ± 0.3</t>
  </si>
  <si>
    <t>1.3 ± 0.5</t>
  </si>
  <si>
    <t>3945.2 ± 1195.3</t>
  </si>
  <si>
    <t>4173.6 ± 1242.3</t>
  </si>
  <si>
    <t>4517.9 ± 1342.1</t>
  </si>
  <si>
    <t>4202.2 ± 891.0</t>
  </si>
  <si>
    <t>3815.0 ± 721.4</t>
  </si>
  <si>
    <t>4470.4 ± 1421.6</t>
  </si>
  <si>
    <t>2762.2 ± 708.0</t>
  </si>
  <si>
    <t>2867.2 ± 708.3</t>
  </si>
  <si>
    <t>3396.1 ± 1235.4</t>
  </si>
  <si>
    <t>3229.0 ± 719.5</t>
  </si>
  <si>
    <t>2949.4 ± 564.9</t>
  </si>
  <si>
    <t>3291.8 ± 1133.1</t>
  </si>
  <si>
    <t>3276.4 ± 832.6</t>
  </si>
  <si>
    <t>3413.0 ± 804.6</t>
  </si>
  <si>
    <t>3858.5 ± 1177.4</t>
  </si>
  <si>
    <t>3655.7 ± 792.1</t>
  </si>
  <si>
    <t>3417.9 ± 518.2</t>
  </si>
  <si>
    <t>3934.3 ± 1213.5</t>
  </si>
  <si>
    <t>1.2 ± 0.3</t>
  </si>
  <si>
    <t>1.4 ± 0.5</t>
  </si>
  <si>
    <t>42.9 ± 11.0</t>
  </si>
  <si>
    <t>41.2 ± 10.0</t>
  </si>
  <si>
    <t>40.6 ± 9.2</t>
  </si>
  <si>
    <t>46.4 ± 11.8</t>
  </si>
  <si>
    <t>49.3 ± 12.5</t>
  </si>
  <si>
    <t>48.8 ± 16.2</t>
  </si>
  <si>
    <t>57.1 ± 11.0</t>
  </si>
  <si>
    <t>58.8 ± 10.0</t>
  </si>
  <si>
    <t>59.4 ± 9.2</t>
  </si>
  <si>
    <t>53.6 ± 11.8</t>
  </si>
  <si>
    <t>50.7 ± 12.5</t>
  </si>
  <si>
    <t>51.2 ± 16.2</t>
  </si>
  <si>
    <t>BCSs Exercise vs. Usual care</t>
  </si>
  <si>
    <t>BCSs Exercise vs. Non-cancer controls</t>
  </si>
  <si>
    <t>p</t>
  </si>
  <si>
    <t>Alder (y)</t>
  </si>
  <si>
    <t>Weight (cm)</t>
  </si>
  <si>
    <t>BMI (cm)</t>
  </si>
  <si>
    <t>n = 19</t>
  </si>
  <si>
    <t>n = 21</t>
  </si>
  <si>
    <t>n = 13</t>
  </si>
  <si>
    <t>endring mellom gruppene</t>
  </si>
  <si>
    <t>CI</t>
  </si>
  <si>
    <t>g1</t>
  </si>
  <si>
    <t>Exercise</t>
  </si>
  <si>
    <t>g2</t>
  </si>
  <si>
    <t>Usual care</t>
  </si>
  <si>
    <t xml:space="preserve">  VO2peak, L/min</t>
  </si>
  <si>
    <t xml:space="preserve">  VO2peak, ml/kg/min</t>
  </si>
  <si>
    <t xml:space="preserve">  HRmax, beats/min</t>
  </si>
  <si>
    <t xml:space="preserve">  O2 pulse, mL/beat</t>
  </si>
  <si>
    <t xml:space="preserve">  RERmax</t>
  </si>
  <si>
    <t xml:space="preserve">  Lactate, mmol/L</t>
  </si>
  <si>
    <t xml:space="preserve">  VEmax, L/min</t>
  </si>
  <si>
    <t xml:space="preserve">  Borg RPE</t>
  </si>
  <si>
    <t xml:space="preserve">  Heart rate, beats/min</t>
  </si>
  <si>
    <t xml:space="preserve">  Cardiac output, L/min</t>
  </si>
  <si>
    <t xml:space="preserve">  Stroke volume, mL</t>
  </si>
  <si>
    <t xml:space="preserve">  MVV, L/min</t>
  </si>
  <si>
    <t xml:space="preserve">  Haemoglobin mass, g</t>
  </si>
  <si>
    <t xml:space="preserve">  Total lean mass, kg</t>
  </si>
  <si>
    <t xml:space="preserve">  Leg lean mass, kg</t>
  </si>
  <si>
    <t xml:space="preserve">  CSA type I, um2</t>
  </si>
  <si>
    <t xml:space="preserve">  CSA type II, um2</t>
  </si>
  <si>
    <t xml:space="preserve">  CSA total, um2</t>
  </si>
  <si>
    <t xml:space="preserve">  Fibre type I, %</t>
  </si>
  <si>
    <t xml:space="preserve">  Fibre type II, %</t>
  </si>
  <si>
    <t xml:space="preserve">  CAF type I</t>
  </si>
  <si>
    <t xml:space="preserve">  CAF type II</t>
  </si>
  <si>
    <t xml:space="preserve">  CAF total</t>
  </si>
  <si>
    <t xml:space="preserve">  CAFA type I</t>
  </si>
  <si>
    <t xml:space="preserve">  CAFA type II</t>
  </si>
  <si>
    <t xml:space="preserve">  CAFA total</t>
  </si>
  <si>
    <t xml:space="preserve">  Citrate synthase</t>
  </si>
  <si>
    <t xml:space="preserve">  HADH</t>
  </si>
  <si>
    <t>Variable</t>
  </si>
  <si>
    <t>Cardiorespiratory fitness</t>
  </si>
  <si>
    <t>NA</t>
  </si>
  <si>
    <t>Stress echocardiography</t>
  </si>
  <si>
    <t>Lung function</t>
  </si>
  <si>
    <t>Blood volume</t>
  </si>
  <si>
    <t>Body composition</t>
  </si>
  <si>
    <t>Muscle characteristics</t>
  </si>
  <si>
    <t>Values are mean +/- SD.</t>
  </si>
  <si>
    <t>0.11 ± 0.20</t>
  </si>
  <si>
    <t>-0.05 ± 0.28</t>
  </si>
  <si>
    <t>0.20 ± 0.22</t>
  </si>
  <si>
    <t>1.41 ± 2.72</t>
  </si>
  <si>
    <t>-0.13 ± 3.23</t>
  </si>
  <si>
    <t>2.88 ± 2.91</t>
  </si>
  <si>
    <t>-2.45 ± 6.15</t>
  </si>
  <si>
    <t>-1.00 ± 4.04</t>
  </si>
  <si>
    <t>-2.63 ± 8.96</t>
  </si>
  <si>
    <t>0.83 ± 1.13</t>
  </si>
  <si>
    <t>-0.25 ± 1.72</t>
  </si>
  <si>
    <t>1.27 ± 1.48</t>
  </si>
  <si>
    <t>0.02 ± 0.08</t>
  </si>
  <si>
    <t>-0.01 ± 0.06</t>
  </si>
  <si>
    <t>-0.03 ± 0.05</t>
  </si>
  <si>
    <t>-0.07 ± 2.36</t>
  </si>
  <si>
    <t>0.22 ± 2.27</t>
  </si>
  <si>
    <t>4.26 ± 13.73</t>
  </si>
  <si>
    <t>7.78 ± 14.70</t>
  </si>
  <si>
    <t>0.25 ± 9.66</t>
  </si>
  <si>
    <t>5.17 ± 10.06</t>
  </si>
  <si>
    <t>0.18 ± 1.78</t>
  </si>
  <si>
    <t>-0.33 ± 0.98</t>
  </si>
  <si>
    <t>1.00 ± 1.41</t>
  </si>
  <si>
    <t>-6.15 ± 12.33</t>
  </si>
  <si>
    <t>-6.62 ± 14.76</t>
  </si>
  <si>
    <t>-9.50 ± 16.86</t>
  </si>
  <si>
    <t>-0.01 ± 1.69</t>
  </si>
  <si>
    <t>-0.66 ± 1.20</t>
  </si>
  <si>
    <t>-0.32 ± 1.69</t>
  </si>
  <si>
    <t>3.38 ± 12.65</t>
  </si>
  <si>
    <t>-1.58 ± 8.16</t>
  </si>
  <si>
    <t>2.86 ± 10.71</t>
  </si>
  <si>
    <t>-0.39 ± 7.07</t>
  </si>
  <si>
    <t>0.75 ± 6.45</t>
  </si>
  <si>
    <t>-2.47 ± 10.46</t>
  </si>
  <si>
    <t>23.12 ± 23.18</t>
  </si>
  <si>
    <t>-2.39 ± 41.71</t>
  </si>
  <si>
    <t>19.98 ± 25.56</t>
  </si>
  <si>
    <t>0.11 ± 1.04</t>
  </si>
  <si>
    <t>0.24 ± 0.74</t>
  </si>
  <si>
    <t>0.21 ± 0.93</t>
  </si>
  <si>
    <t>0.07 ± 0.42</t>
  </si>
  <si>
    <t>-0.41 ± 0.60</t>
  </si>
  <si>
    <t>0.12 ± 0.42</t>
  </si>
  <si>
    <t>228.35 ± 643.27</t>
  </si>
  <si>
    <t>-315.70 ± 1251.94</t>
  </si>
  <si>
    <t>655.46 ± 1337.73</t>
  </si>
  <si>
    <t>105.00 ± 444.98</t>
  </si>
  <si>
    <t>-167.05 ± 788.74</t>
  </si>
  <si>
    <t>342.47 ± 935.09</t>
  </si>
  <si>
    <t>136.61 ± 521.05</t>
  </si>
  <si>
    <t>-202.78 ± 921.52</t>
  </si>
  <si>
    <t>516.49 ± 1128.22</t>
  </si>
  <si>
    <t>-1.68 ± 12.15</t>
  </si>
  <si>
    <t>5.80 ± 15.35</t>
  </si>
  <si>
    <t>-0.52 ± 17.43</t>
  </si>
  <si>
    <t>1.68 ± 12.15</t>
  </si>
  <si>
    <t>-5.80 ± 15.35</t>
  </si>
  <si>
    <t>0.52 ± 17.43</t>
  </si>
  <si>
    <t>0.08 ± 0.44</t>
  </si>
  <si>
    <t>0.10 ± 0.63</t>
  </si>
  <si>
    <t>0.37 ± 0.79</t>
  </si>
  <si>
    <t>-0.01 ± 0.24</t>
  </si>
  <si>
    <t>0.14 ± 0.56</t>
  </si>
  <si>
    <t>0.27 ± 0.71</t>
  </si>
  <si>
    <t>0.03 ± 0.31</t>
  </si>
  <si>
    <t>0.16 ± 0.61</t>
  </si>
  <si>
    <t>0.32 ± 0.80</t>
  </si>
  <si>
    <t>-0.03 ± 0.18</t>
  </si>
  <si>
    <t>0.05 ± 0.25</t>
  </si>
  <si>
    <t>-0.01 ± 0.21</t>
  </si>
  <si>
    <t>-0.06 ± 0.23</t>
  </si>
  <si>
    <t>0.03 ± 0.26</t>
  </si>
  <si>
    <t>0.03 ± 0.25</t>
  </si>
  <si>
    <t>-0.04 ± 0.20</t>
  </si>
  <si>
    <t>0.04 ± 0.26</t>
  </si>
  <si>
    <t>0.00 ± 0.22</t>
  </si>
  <si>
    <t>0.02 ± 0.22</t>
  </si>
  <si>
    <t>-0.01 ± 0.15</t>
  </si>
  <si>
    <t>0.25 ± 0.36</t>
  </si>
  <si>
    <t>-0.04 ± 0.16</t>
  </si>
  <si>
    <t>-0.03 ± 0.17</t>
  </si>
  <si>
    <t>0.22 ± 0.38</t>
  </si>
  <si>
    <r>
      <t>BCS exercise (</t>
    </r>
    <r>
      <rPr>
        <b/>
        <sz val="11"/>
        <color rgb="FFFFFFFF"/>
        <rFont val="Aptos Narrow"/>
        <family val="2"/>
      </rPr>
      <t>∆</t>
    </r>
    <r>
      <rPr>
        <b/>
        <sz val="12.65"/>
        <color rgb="FFFFFFFF"/>
        <rFont val="Arial"/>
        <family val="2"/>
      </rPr>
      <t>)</t>
    </r>
  </si>
  <si>
    <t>BCS usual care (∆)</t>
  </si>
  <si>
    <t>Non-cancer controls (∆)</t>
  </si>
  <si>
    <t xml:space="preserve">domain</t>
  </si>
  <si>
    <t xml:space="preserve">variable</t>
  </si>
  <si>
    <t xml:space="preserve">beta_ci</t>
  </si>
  <si>
    <t xml:space="preserve">p.value</t>
  </si>
  <si>
    <t xml:space="preserve">p.adj</t>
  </si>
  <si>
    <t xml:space="preserve">cohens_d</t>
  </si>
  <si>
    <t xml:space="preserve">d_magnitude</t>
  </si>
  <si>
    <t xml:space="preserve">blood</t>
  </si>
  <si>
    <t xml:space="preserve">hb</t>
  </si>
  <si>
    <t xml:space="preserve">-24.41 (-50.26, 1.43)</t>
  </si>
  <si>
    <t xml:space="preserve">medium</t>
  </si>
  <si>
    <t xml:space="preserve">cardio</t>
  </si>
  <si>
    <t xml:space="preserve">borgs</t>
  </si>
  <si>
    <t xml:space="preserve">-0.13 (-1.02, 0.75)</t>
  </si>
  <si>
    <t xml:space="preserve">trivial</t>
  </si>
  <si>
    <t xml:space="preserve">hfmaks</t>
  </si>
  <si>
    <t xml:space="preserve">0.80 (-2.93, 4.53)</t>
  </si>
  <si>
    <t xml:space="preserve">hr_ekko</t>
  </si>
  <si>
    <t xml:space="preserve">-6.03 (-15.01, 2.95)</t>
  </si>
  <si>
    <t xml:space="preserve">small</t>
  </si>
  <si>
    <t xml:space="preserve">laktat</t>
  </si>
  <si>
    <t xml:space="preserve">0.25 (-1.33, 1.83)</t>
  </si>
  <si>
    <t xml:space="preserve">mvv_l_min</t>
  </si>
  <si>
    <t xml:space="preserve">1.33 (-3.90, 6.56)</t>
  </si>
  <si>
    <t xml:space="preserve">o2puls</t>
  </si>
  <si>
    <t xml:space="preserve">-0.93 (-1.81, -0.05)</t>
  </si>
  <si>
    <t xml:space="preserve">q_lmin</t>
  </si>
  <si>
    <t xml:space="preserve">-1.08 (-2.06, -0.11)</t>
  </si>
  <si>
    <t xml:space="preserve">rer_maks</t>
  </si>
  <si>
    <t xml:space="preserve">-0.03 (-0.07, 0.01)</t>
  </si>
  <si>
    <t xml:space="preserve">sv_m_l</t>
  </si>
  <si>
    <t xml:space="preserve">-3.77 (-9.76, 2.22)</t>
  </si>
  <si>
    <t xml:space="preserve">ve_maks</t>
  </si>
  <si>
    <t xml:space="preserve">-8.71 (-17.06, -0.37)</t>
  </si>
  <si>
    <t xml:space="preserve">vo2lmin</t>
  </si>
  <si>
    <t xml:space="preserve">-0.16 (-0.31, 0.00)</t>
  </si>
  <si>
    <t xml:space="preserve">vo2mlkgmin</t>
  </si>
  <si>
    <t xml:space="preserve">-1.78 (-3.90, 0.33)</t>
  </si>
  <si>
    <t xml:space="preserve">muscle</t>
  </si>
  <si>
    <t xml:space="preserve">caf_mhc1</t>
  </si>
  <si>
    <t xml:space="preserve">-0.01 (-0.41, 0.39)</t>
  </si>
  <si>
    <t xml:space="preserve">caf_mhc2</t>
  </si>
  <si>
    <t xml:space="preserve">0.13 (-0.19, 0.46)</t>
  </si>
  <si>
    <t xml:space="preserve">caf_total</t>
  </si>
  <si>
    <t xml:space="preserve">0.10 (-0.25, 0.46)</t>
  </si>
  <si>
    <t xml:space="preserve">cafa_mhc1</t>
  </si>
  <si>
    <t xml:space="preserve">-0.01 (-0.14, 0.13)</t>
  </si>
  <si>
    <t xml:space="preserve">cafa_mhc2</t>
  </si>
  <si>
    <t xml:space="preserve">-0.07 (-0.20, 0.07)</t>
  </si>
  <si>
    <t xml:space="preserve">cafa_total</t>
  </si>
  <si>
    <t xml:space="preserve">-0.04 (-0.17, 0.09)</t>
  </si>
  <si>
    <t xml:space="preserve">cs</t>
  </si>
  <si>
    <t xml:space="preserve">-0.06 (-0.20, 0.09)</t>
  </si>
  <si>
    <t xml:space="preserve">csa_mhc1</t>
  </si>
  <si>
    <t xml:space="preserve">-308.67 (-959.81, 342.47)</t>
  </si>
  <si>
    <t xml:space="preserve">csa_mhc2</t>
  </si>
  <si>
    <t xml:space="preserve">4.39 (-368.55, 377.34)</t>
  </si>
  <si>
    <t xml:space="preserve">csa_total</t>
  </si>
  <si>
    <t xml:space="preserve">-80.38 (-549.49, 388.74)</t>
  </si>
  <si>
    <t xml:space="preserve">hadh</t>
  </si>
  <si>
    <t xml:space="preserve">-0.03 (-0.15, 0.10)</t>
  </si>
  <si>
    <t xml:space="preserve">proportion_mhc1</t>
  </si>
  <si>
    <t xml:space="preserve">5.54 (-2.88, 13.96)</t>
  </si>
  <si>
    <t xml:space="preserve">proportion_mhc2</t>
  </si>
  <si>
    <t xml:space="preserve">-5.54 (-13.96, 2.88)</t>
  </si>
  <si>
    <t xml:space="preserve">adjusted</t>
  </si>
  <si>
    <t xml:space="preserve">age</t>
  </si>
  <si>
    <t xml:space="preserve">7.40 (-11.45, 26.25)</t>
  </si>
  <si>
    <t xml:space="preserve">baseline_vo2</t>
  </si>
  <si>
    <t xml:space="preserve">4.79 (-16.31, 25.89)</t>
  </si>
  <si>
    <t xml:space="preserve">unadjusted</t>
  </si>
  <si>
    <t xml:space="preserve">3.14 (-17.02, 23.31)</t>
  </si>
  <si>
    <t xml:space="preserve">-0.65 (-1.98, 0.69)</t>
  </si>
  <si>
    <t xml:space="preserve">-0.82 (-2.01, 0.37)</t>
  </si>
  <si>
    <t xml:space="preserve">-0.82 (-1.99, 0.35)</t>
  </si>
  <si>
    <t xml:space="preserve">-0.88 (-6.22, 4.46)</t>
  </si>
  <si>
    <t xml:space="preserve">0.35 (-4.62, 5.32)</t>
  </si>
  <si>
    <t xml:space="preserve">0.18 (-4.78, 5.15)</t>
  </si>
  <si>
    <t xml:space="preserve">2.05 (-8.40, 12.50)</t>
  </si>
  <si>
    <t xml:space="preserve">3.42 (-6.39, 13.24)</t>
  </si>
  <si>
    <t xml:space="preserve">3.35 (-6.30, 13.00)</t>
  </si>
  <si>
    <t xml:space="preserve">-3.47 (-10.36, 3.42)</t>
  </si>
  <si>
    <t xml:space="preserve">-4.01 (-10.56, 2.54)</t>
  </si>
  <si>
    <t xml:space="preserve">-4.33 (-10.84, 2.17)</t>
  </si>
  <si>
    <t xml:space="preserve">3.53 (-2.69, 9.75)</t>
  </si>
  <si>
    <t xml:space="preserve">2.40 (-3.22, 8.02)</t>
  </si>
  <si>
    <t xml:space="preserve">2.08 (-3.68, 7.85)</t>
  </si>
  <si>
    <t xml:space="preserve">-0.30 (-1.22, 0.62)</t>
  </si>
  <si>
    <t xml:space="preserve">-0.50 (-1.31, 0.31)</t>
  </si>
  <si>
    <t xml:space="preserve">-0.44 (-1.29, 0.41)</t>
  </si>
  <si>
    <t xml:space="preserve">0.01 (-1.17, 1.19)</t>
  </si>
  <si>
    <t xml:space="preserve">0.30 (-0.84, 1.43)</t>
  </si>
  <si>
    <t xml:space="preserve">0.31 (-0.81, 1.42)</t>
  </si>
  <si>
    <t xml:space="preserve">0.04 (-0.00, 0.09)</t>
  </si>
  <si>
    <t xml:space="preserve">0.04 (0.00, 0.09)</t>
  </si>
  <si>
    <t xml:space="preserve">-0.62 (-9.01, 7.77)</t>
  </si>
  <si>
    <t xml:space="preserve">0.41 (-7.47, 8.29)</t>
  </si>
  <si>
    <t xml:space="preserve">0.51 (-7.24, 8.27)</t>
  </si>
  <si>
    <t xml:space="preserve">4.19 (-4.72, 13.09)</t>
  </si>
  <si>
    <t xml:space="preserve">2.61 (-5.68, 10.89)</t>
  </si>
  <si>
    <t xml:space="preserve">2.61 (-5.54, 10.76)</t>
  </si>
  <si>
    <t xml:space="preserve">-0.07 (-0.22, 0.07)</t>
  </si>
  <si>
    <t xml:space="preserve">-0.10 (-0.23, 0.03)</t>
  </si>
  <si>
    <t xml:space="preserve">-0.09 (-0.22, 0.04)</t>
  </si>
  <si>
    <t xml:space="preserve">-1.25 (-3.23, 0.74)</t>
  </si>
  <si>
    <t xml:space="preserve">-1.53 (-3.33, 0.27)</t>
  </si>
  <si>
    <t xml:space="preserve">-1.46 (-3.27, 0.34)</t>
  </si>
  <si>
    <t xml:space="preserve">-0.38 (-0.90, 0.13)</t>
  </si>
  <si>
    <t xml:space="preserve">-0.30 (-0.73, 0.13)</t>
  </si>
  <si>
    <t xml:space="preserve">-0.29 (-0.74, 0.17)</t>
  </si>
  <si>
    <t xml:space="preserve">-0.37 (-0.80, 0.06)</t>
  </si>
  <si>
    <t xml:space="preserve">-0.30 (-0.63, 0.03)</t>
  </si>
  <si>
    <t xml:space="preserve">-0.28 (-0.65, 0.10)</t>
  </si>
  <si>
    <t xml:space="preserve">-0.43 (-0.92, 0.05)</t>
  </si>
  <si>
    <t xml:space="preserve">-0.31 (-0.70, 0.08)</t>
  </si>
  <si>
    <t xml:space="preserve">-0.29 (-0.72, 0.14)</t>
  </si>
  <si>
    <t xml:space="preserve">0.04 (-0.11, 0.19)</t>
  </si>
  <si>
    <t xml:space="preserve">-0.02 (-0.15, 0.12)</t>
  </si>
  <si>
    <t xml:space="preserve">-0.06 (-0.25, 0.13)</t>
  </si>
  <si>
    <t xml:space="preserve">-0.09 (-0.26, 0.08)</t>
  </si>
  <si>
    <t xml:space="preserve">-0.09 (-0.25, 0.08)</t>
  </si>
  <si>
    <t xml:space="preserve">0.01 (-0.16, 0.17)</t>
  </si>
  <si>
    <t xml:space="preserve">-0.04 (-0.19, 0.11)</t>
  </si>
  <si>
    <t xml:space="preserve">-0.26 (-0.47, -0.05)</t>
  </si>
  <si>
    <t xml:space="preserve">large</t>
  </si>
  <si>
    <t xml:space="preserve">-0.21 (-0.39, -0.02)</t>
  </si>
  <si>
    <t xml:space="preserve">-0.23 (-0.42, -0.04)</t>
  </si>
  <si>
    <t xml:space="preserve">-725.64 (-1555.13, 103.85)</t>
  </si>
  <si>
    <t xml:space="preserve">-435.68 (-1189.52, 318.15)</t>
  </si>
  <si>
    <t xml:space="preserve">-427.11 (-1171.96, 317.74)</t>
  </si>
  <si>
    <t xml:space="preserve">-352.66 (-946.36, 241.04)</t>
  </si>
  <si>
    <t xml:space="preserve">-244.74 (-769.44, 279.95)</t>
  </si>
  <si>
    <t xml:space="preserve">-237.46 (-757.25, 282.33)</t>
  </si>
  <si>
    <t xml:space="preserve">-639.61 (-1332.77, 53.55)</t>
  </si>
  <si>
    <t xml:space="preserve">-390.21 (-1018.34, 237.92)</t>
  </si>
  <si>
    <t xml:space="preserve">-379.88 (-1004.13, 244.37)</t>
  </si>
  <si>
    <t xml:space="preserve">-0.25 (-0.45, -0.05)</t>
  </si>
  <si>
    <t xml:space="preserve">-0.24 (-0.43, -0.06)</t>
  </si>
  <si>
    <t xml:space="preserve">-0.26 (-0.44, -0.07)</t>
  </si>
  <si>
    <t xml:space="preserve">-5.26 (-17.02, 6.49)</t>
  </si>
  <si>
    <t xml:space="preserve">-1.39 (-11.90, 9.12)</t>
  </si>
  <si>
    <t xml:space="preserve">-1.16 (-11.69, 9.37)</t>
  </si>
  <si>
    <t xml:space="preserve">5.26 (-6.49, 17.02)</t>
  </si>
  <si>
    <t xml:space="preserve">1.39 (-9.12, 11.90)</t>
  </si>
  <si>
    <t xml:space="preserve">1.16 (-9.37, 11.69)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</si>
</sst>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b/>
    </font>
    <font>
      <sz val="11"/>
      <color rgb="FFFF0000"/>
      <name val="Calibri"/>
      <family val="2"/>
    </font>
    <font>
      <sz val="11"/>
      <color theme="1"/>
      <name val="Calibri"/>
    </font>
    <font>
      <sz val="10"/>
      <color rgb="FFEAEAEA"/>
      <name val="Cascadia Code"/>
      <family val="3"/>
    </font>
    <font>
      <sz val="9"/>
      <color theme="1"/>
      <name val="Arial"/>
      <family val="2"/>
    </font>
    <font>
      <sz val="14"/>
      <color theme="1"/>
      <name val="Calibri"/>
      <family val="2"/>
      <scheme val="minor"/>
      <b/>
    </font>
    <font>
      <sz val="10"/>
      <color theme="1"/>
      <name val="Arial"/>
    </font>
    <font>
      <sz val="9"/>
      <color rgb="FF595959"/>
      <name val="Arial"/>
    </font>
    <font>
      <sz val="11"/>
      <color rgb="FFFFFFFF"/>
      <name val="Arial"/>
      <b/>
    </font>
    <font>
      <sz val="10"/>
      <color theme="1"/>
      <name val="Arial"/>
      <b/>
    </font>
    <font>
      <sz val="11"/>
      <color rgb="FFFFFFFF"/>
      <name val="Arial"/>
      <family val="2"/>
      <b/>
    </font>
    <font>
      <sz val="11"/>
      <color theme="1"/>
      <name val="Calibri"/>
      <family val="2"/>
      <scheme val="minor"/>
      <b/>
      <i/>
    </font>
    <font>
      <sz val="11"/>
      <color theme="1"/>
      <name val="Calibri"/>
      <family val="2"/>
      <scheme val="minor"/>
      <b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C282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E75B6"/>
      </patternFill>
    </fill>
    <fill>
      <patternFill patternType="solid">
        <fgColor rgb="FFEEF4FB"/>
      </patternFill>
    </fill>
  </fills>
  <borders count="4">
    <border>
      <left/>
      <right/>
      <top/>
      <bottom/>
      <diagonal/>
    </border>
    <border>
      <top style="thin">
        <color indexed="64"/>
      </top>
    </border>
    <border>
      <bottom style="medium">
        <color indexed="64"/>
      </bottom>
    </border>
    <border>
      <bottom style="thin">
        <color rgb="FFCCCCCC"/>
      </bottom>
    </border>
  </borders>
  <cellStyleXfs count="1">
    <xf numFmtId="0" fontId="0" fillId="0" borderId="0"/>
  </cellStyleXfs>
  <cellXfs count="54">
    <xf numFmtId="0" fontId="0" fillId="0" borderId="0" xfId="0"/>
    <xf numFmtId="10" fontId="1" fillId="0" borderId="0" xfId="0" applyFont="1" applyNumberFormat="1"/>
    <xf numFmtId="2" fontId="1" fillId="2" borderId="0" xfId="0" applyFont="1" applyNumberFormat="1" applyFill="1"/>
    <xf numFmtId="2" fontId="1" fillId="0" borderId="0" xfId="0" applyFont="1" applyNumberFormat="1"/>
    <xf numFmtId="2" fontId="1" fillId="0" borderId="0" xfId="0" applyFont="1" applyNumberFormat="1" applyAlignment="1">
      <alignment horizontal="right"/>
    </xf>
    <xf numFmtId="165" fontId="1" fillId="0" borderId="0" xfId="0" applyFont="1" applyNumberFormat="1"/>
    <xf numFmtId="1" fontId="1" fillId="0" borderId="0" xfId="0" applyFont="1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1" fillId="0" borderId="0" xfId="0" applyFont="1" applyNumberFormat="1"/>
    <xf numFmtId="2" fontId="2" fillId="0" borderId="0" xfId="0" applyFont="1" applyNumberForma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1" fillId="3" borderId="0" xfId="0" applyFont="1" applyFill="1"/>
    <xf numFmtId="164" fontId="1" fillId="0" borderId="0" xfId="0" applyFont="1" applyNumberFormat="1" applyAlignment="1">
      <alignment horizontal="center"/>
    </xf>
    <xf numFmtId="2" fontId="5" fillId="0" borderId="0" xfId="0" applyFont="1" applyNumberFormat="1"/>
    <xf numFmtId="165" fontId="5" fillId="0" borderId="0" xfId="0" applyFont="1" applyNumberFormat="1"/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2" fontId="5" fillId="0" borderId="0" xfId="0" applyFont="1" applyNumberFormat="1" applyAlignment="1">
      <alignment horizontal="center"/>
    </xf>
    <xf numFmtId="165" fontId="5" fillId="0" borderId="0" xfId="0" applyFont="1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6" borderId="3" xfId="0" applyFont="1" applyFill="1" applyBorder="1" applyAlignment="1">
      <alignment horizontal="left"/>
    </xf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1" xfId="0" applyFont="1" applyBorder="1"/>
    <xf numFmtId="0" fontId="14" fillId="5" borderId="0" xfId="0" applyFont="1" applyFill="1" applyAlignment="1">
      <alignment vertical="center"/>
    </xf>
    <xf numFmtId="0" fontId="5" fillId="5" borderId="0" xfId="0" applyFont="1" applyFill="1" applyAlignment="1">
      <alignment horizontal="center"/>
    </xf>
    <xf numFmtId="0" fontId="14" fillId="5" borderId="0" xfId="0" applyFont="1" applyFill="1"/>
    <xf numFmtId="0" fontId="15" fillId="0" borderId="2" xfId="0" applyFont="1" applyBorder="1"/>
    <xf numFmtId="2" fontId="5" fillId="5" borderId="0" xfId="0" applyFont="1" applyNumberFormat="1" applyFill="1" applyAlignment="1">
      <alignment horizontal="center"/>
    </xf>
    <xf numFmtId="2" fontId="5" fillId="0" borderId="2" xfId="0" applyFont="1" applyNumberFormat="1" applyBorder="1" applyAlignment="1">
      <alignment horizontal="center"/>
    </xf>
    <xf numFmtId="0" fontId="16" fillId="0" borderId="0" xfId="0" applyFont="1"/>
    <xf numFmtId="0" fontId="15" fillId="0" borderId="1" xfId="0" applyFont="1" applyBorder="1" applyAlignment="1">
      <alignment horizontal="center"/>
    </xf>
    <xf numFmtId="164" fontId="1" fillId="0" borderId="0" xfId="0" applyFont="1" applyNumberFormat="1" applyAlignment="1">
      <alignment horizontal="left"/>
    </xf>
  </cellXfs>
  <cellStyles count="1">
    <cellStyle name="Normal" xfId="0" builtinId="0"/>
  </cellStyles>
  <dxfs count="1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drawings/_rels/drawing8.xml.rels><?xml version="1.0" encoding="UTF-8" standalone="yes"?><Relationships xmlns="http://schemas.openxmlformats.org/package/2006/relationships"></Relationships>
</file>

<file path=xl/drawings/_rels/drawing9.xml.rels><?xml version="1.0" encoding="UTF-8" standalone="yes"?><Relationships xmlns="http://schemas.openxmlformats.org/package/2006/relationships"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9525</xdr:colOff>
      <xdr:row>1</xdr:row>
      <xdr:rowOff>9525</xdr:rowOff>
    </xdr:from>
    <xdr:to>
      <xdr:col>17</xdr:col>
      <xdr:colOff>495300</xdr:colOff>
      <xdr:row>6</xdr:row>
      <xdr:rowOff>114300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4B17A3A0-B345-4B28-A9A3-9A724A5F4595}"/>
            </a:ext>
          </a:extLst>
        </xdr:cNvPr>
        <xdr:cNvSpPr txBox="1"/>
      </xdr:nvSpPr>
      <xdr:spPr>
        <a:xfrm>
          <a:off x="7629525" y="200025"/>
          <a:ext cx="5819775" cy="105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Baselineverdier for alle utfallsvariabler ble sammenlignet mellom BCS Exercise og BCS Usual Care med uavhengig t-test for normalfordelte variabler og Mann-Whitney U-test for ikke-normalfordelte variabler. Normalitet ble vurdert med Shapiro-Wilk-test per gruppe. Hensikten var å verifisere at randomiseringen resulterte i sammenlignbare grupper før intervensjonstart.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1</xdr:row>
      <xdr:rowOff>1</xdr:rowOff>
    </xdr:from>
    <xdr:to>
      <xdr:col>14</xdr:col>
      <xdr:colOff>571500</xdr:colOff>
      <xdr:row>6</xdr:row>
      <xdr:rowOff>104775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2E436DCD-6D1B-441B-58BB-37F4F15C8F06}"/>
            </a:ext>
          </a:extLst>
        </xdr:cNvPr>
        <xdr:cNvSpPr txBox="1"/>
      </xdr:nvSpPr>
      <xdr:spPr>
        <a:xfrm>
          <a:off x="6762750" y="190501"/>
          <a:ext cx="5905500" cy="1057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Baselineverdier ble sammenlignet på tvers av alle tre grupper (BCS Exercise, BCS Usual Care og Non-cancer controls) med én-veis Welch ANOVA for normalfordelte variabler og Kruskal-Wallis-test ellers. Denne sammenligningen ble gjort for å kartlegge potensiell seleksjonsskjevhet i Non-cancer control-gruppen, som ble rekruttert separat og ikke var gjenstand for randomisering.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4" zoomScaleNormal="100" workbookViewId="0">
      <selection activeCell="J55" sqref="J55"/>
    </sheetView>
  </sheetViews>
  <sheetFormatPr defaultRowHeight="15.0" baseColWidth="10"/>
  <cols>
    <col min="1" max="1" width="4.140625" hidden="0" customWidth="1"/>
    <col min="2" max="2" width="6.140625" hidden="0" customWidth="1"/>
    <col min="3" max="3" width="9.85546875" hidden="0" customWidth="1"/>
    <col min="4" max="4" width="10.7109375" hidden="0" customWidth="1"/>
    <col min="5" max="5" width="9.140625" hidden="0" customWidth="1"/>
    <col min="6" max="6" width="8.42578125" hidden="0" customWidth="1"/>
    <col min="7" max="7" width="11.5703125" hidden="0" customWidth="1"/>
    <col min="8" max="8" width="10" hidden="0" customWidth="1"/>
    <col min="9" max="9" width="9.28515625" hidden="0" customWidth="1"/>
    <col min="10" max="10" width="8.42578125" hidden="0" customWidth="1"/>
    <col min="11" max="11" width="9.28515625" hidden="0" customWidth="1"/>
    <col min="12" max="12" width="9.7109375" hidden="0" customWidth="1"/>
    <col min="13" max="13" width="8.7109375" hidden="0" customWidth="1"/>
    <col min="14" max="14" width="15.85546875" hidden="0" customWidth="1"/>
    <col min="15" max="15" width="9.28515625" hidden="0" customWidth="1"/>
    <col min="16" max="16" width="10.140625" hidden="0" customWidth="1"/>
    <col min="17" max="17" width="10.5703125" hidden="0" customWidth="1"/>
    <col min="18" max="18" width="9.5703125" hidden="0" customWidth="1"/>
    <col min="19" max="19" width="16.85546875" hidden="0" customWidth="1"/>
    <col min="20" max="20" width="14.5703125" hidden="0" customWidth="1"/>
    <col min="21" max="21" width="14.5703125" hidden="0" customWidth="1"/>
    <col min="22" max="22" width="14.140625" hidden="0" customWidth="1"/>
    <col min="23" max="23" width="9.85546875" hidden="0" customWidth="1"/>
    <col min="24" max="24" width="12.140625" hidden="0" customWidth="1"/>
    <col min="25" max="25" width="13" hidden="0" customWidth="1"/>
    <col min="26" max="26" width="16.5703125" hidden="0" customWidth="1"/>
    <col min="27" max="27" width="12.7109375" hidden="0" customWidth="1"/>
    <col min="28" max="28" width="11.7109375" hidden="0" customWidth="1"/>
    <col min="29" max="29" width="12.85546875" hidden="0" customWidth="1"/>
    <col min="30" max="30" width="11.85546875" hidden="0" customWidth="1"/>
    <col min="31" max="31" width="11.140625" hidden="0" customWidth="1"/>
    <col min="32" max="32" width="17.140625" hidden="0" customWidth="1"/>
    <col min="33" max="33" width="9.140625" hidden="0" customWidth="1"/>
    <col min="34" max="34" width="16.140625" hidden="0" customWidth="1"/>
    <col min="35" max="35" width="16.140625" hidden="0" customWidth="1"/>
    <col min="36" max="36" width="16.28515625" hidden="0" customWidth="1"/>
    <col min="37" max="37" width="16.28515625" hidden="0" customWidth="1"/>
    <col min="38" max="38" width="15" hidden="0" customWidth="1"/>
    <col min="39" max="39" width="10.7109375" hidden="0" customWidth="1"/>
    <col min="40" max="40" width="13.85546875" hidden="0" customWidth="1"/>
    <col min="41" max="41" width="17.42578125" hidden="0" customWidth="1"/>
    <col min="42" max="42" width="13.5703125" hidden="0" customWidth="1"/>
    <col min="43" max="43" width="12.5703125" hidden="0" customWidth="1"/>
    <col min="44" max="44" width="13.7109375" hidden="0" customWidth="1"/>
    <col min="45" max="45" width="12.7109375" hidden="0" customWidth="1"/>
    <col min="46" max="46" width="18" hidden="0" customWidth="1"/>
    <col min="47" max="47" width="10" hidden="0" customWidth="1"/>
    <col min="48" max="48" width="12" hidden="0" customWidth="1"/>
    <col min="49" max="49" width="10.28515625" hidden="0" customWidth="1"/>
    <col min="50" max="50" width="11.140625" hidden="0" customWidth="1"/>
    <col min="51" max="51" width="21.7109375" hidden="0" customWidth="1"/>
    <col min="52" max="52" width="19.140625" hidden="0" customWidth="1"/>
    <col min="53" max="53" width="15.140625" hidden="0" customWidth="1"/>
    <col min="54" max="54" width="20" hidden="0" customWidth="1"/>
    <col min="55" max="55" width="16.140625" hidden="0" customWidth="1"/>
    <col min="56" max="56" width="22.140625" hidden="0" customWidth="1"/>
    <col min="57" max="57" width="23.140625" hidden="0" customWidth="1"/>
    <col min="58" max="58" width="24" hidden="0" customWidth="1"/>
    <col min="59" max="59" width="11.7109375" hidden="0" customWidth="1"/>
    <col min="60" max="60" width="12" hidden="0" customWidth="1"/>
    <col min="61" max="61" width="13.140625" hidden="0" customWidth="1"/>
    <col min="62" max="62" width="10.7109375" hidden="0" customWidth="1"/>
    <col min="63" max="63" width="12.140625" hidden="0" customWidth="1"/>
    <col min="64" max="64" width="12" hidden="0" customWidth="1"/>
    <col min="65" max="65" width="13.140625" hidden="0" customWidth="1"/>
    <col min="66" max="66" width="11.5703125" hidden="0" customWidth="1"/>
    <col min="67" max="67" width="20.28515625" hidden="0" customWidth="1"/>
    <col min="68" max="68" width="20" hidden="0" customWidth="1"/>
    <col min="69" max="69" width="9.42578125" hidden="0" customWidth="1"/>
    <col min="70" max="70" width="9.42578125" hidden="0" customWidth="1"/>
    <col min="71" max="71" width="14" hidden="0" customWidth="1"/>
    <col min="72" max="72" width="14.85546875" hidden="0" customWidth="1"/>
    <col min="73" max="73" width="14" hidden="0" customWidth="1"/>
    <col min="74" max="74" width="14.85546875" hidden="0" customWidth="1"/>
    <col min="75" max="75" width="13.28515625" hidden="0" customWidth="1"/>
    <col min="76" max="76" width="14.140625" hidden="0" customWidth="1"/>
    <col min="77" max="77" width="19.7109375" hidden="0" customWidth="1"/>
    <col min="78" max="78" width="20.5703125" hidden="0" customWidth="1"/>
    <col min="79" max="79" width="19.7109375" hidden="0" customWidth="1"/>
    <col min="80" max="80" width="20.5703125" hidden="0" customWidth="1"/>
    <col min="81" max="81" width="14.5703125" hidden="0" customWidth="1"/>
    <col min="82" max="82" width="15.42578125" hidden="0" customWidth="1"/>
    <col min="83" max="83" width="14.5703125" hidden="0" customWidth="1"/>
    <col min="84" max="84" width="15.42578125" hidden="0" customWidth="1"/>
    <col min="85" max="85" width="15" hidden="0" customWidth="1"/>
    <col min="86" max="86" width="15.85546875" hidden="0" customWidth="1"/>
    <col min="87" max="87" width="15.85546875" hidden="0" customWidth="1"/>
    <col min="88" max="88" width="16.85546875" hidden="0" customWidth="1"/>
    <col min="89" max="89" width="15.85546875" hidden="0" customWidth="1"/>
    <col min="90" max="90" width="16.85546875" hidden="0" customWidth="1"/>
    <col min="91" max="91" width="16.42578125" hidden="0" customWidth="1"/>
    <col min="92" max="92" width="17.28515625" hidden="0" customWidth="1"/>
    <col min="93" max="93" width="7.140625" hidden="0" customWidth="1"/>
    <col min="94" max="94" width="8" hidden="0" customWidth="1"/>
    <col min="95" max="95" width="10.140625" hidden="0" customWidth="1"/>
    <col min="96" max="96" width="11" hidden="0" customWidth="1"/>
  </cols>
  <sheetData>
    <row r="1">
      <c r="A1" t="s">
        <v>46</v>
      </c>
      <c r="B1" t="s">
        <v>170</v>
      </c>
      <c r="C1" t="s">
        <v>113</v>
      </c>
      <c r="D1" t="s">
        <v>171</v>
      </c>
      <c r="E1" t="s">
        <v>115</v>
      </c>
      <c r="F1" t="s">
        <v>116</v>
      </c>
      <c r="G1" t="s">
        <v>172</v>
      </c>
      <c r="H1" t="s">
        <v>118</v>
      </c>
      <c r="I1" t="s">
        <v>119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48</v>
      </c>
      <c r="AX1" t="s">
        <v>49</v>
      </c>
      <c r="AY1" t="s">
        <v>111</v>
      </c>
      <c r="AZ1" t="s">
        <v>42</v>
      </c>
      <c r="BA1" t="s">
        <v>43</v>
      </c>
      <c r="BB1" t="s">
        <v>44</v>
      </c>
      <c r="BC1" t="s">
        <v>45</v>
      </c>
      <c r="BD1" t="s">
        <v>112</v>
      </c>
      <c r="BE1" t="s">
        <v>109</v>
      </c>
      <c r="BF1" t="s">
        <v>110</v>
      </c>
      <c r="BG1" s="7" t="s">
        <v>126</v>
      </c>
      <c r="BH1" s="7" t="s">
        <v>131</v>
      </c>
      <c r="BI1" s="7" t="s">
        <v>124</v>
      </c>
      <c r="BJ1" s="7" t="s">
        <v>125</v>
      </c>
      <c r="BK1" s="8" t="s">
        <v>127</v>
      </c>
      <c r="BL1" s="8" t="s">
        <v>128</v>
      </c>
      <c r="BM1" s="8" t="s">
        <v>129</v>
      </c>
      <c r="BN1" s="7" t="s">
        <v>130</v>
      </c>
      <c r="BO1" s="8" t="s">
        <v>63</v>
      </c>
      <c r="BP1" s="8" t="s">
        <v>62</v>
      </c>
      <c r="BQ1" t="s">
        <v>50</v>
      </c>
      <c r="BR1" t="s">
        <v>51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s="11" t="s">
        <v>72</v>
      </c>
      <c r="CB1" s="1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s="6"/>
    </row>
    <row r="2">
      <c r="A2" s="6" t="n">
        <v>1</v>
      </c>
      <c r="B2" s="6" t="n">
        <v>2</v>
      </c>
      <c r="C2" s="3" t="n">
        <v>57.78</v>
      </c>
      <c r="D2" s="5" t="n">
        <v>169.5</v>
      </c>
      <c r="E2" s="5" t="n">
        <v>76</v>
      </c>
      <c r="F2" s="3" t="n">
        <v>26.452954638403771</v>
      </c>
      <c r="G2" s="6" t="n">
        <v>170</v>
      </c>
      <c r="H2" s="6" t="n">
        <v>62</v>
      </c>
      <c r="I2" s="3" t="n">
        <v>21.453287197231838</v>
      </c>
      <c r="J2" s="3" t="n">
        <v>3.44</v>
      </c>
      <c r="K2" s="3" t="n">
        <v>2.83</v>
      </c>
      <c r="L2" s="3" t="n">
        <v>6.62</v>
      </c>
      <c r="M2" s="3" t="n">
        <v>1.2</v>
      </c>
      <c r="N2" s="3" t="n">
        <v>108.31</v>
      </c>
      <c r="O2" s="3" t="n">
        <v>3.12</v>
      </c>
      <c r="P2" s="3" t="n">
        <v>2.94</v>
      </c>
      <c r="Q2" s="3" t="n">
        <v>6.28</v>
      </c>
      <c r="R2" s="3" t="n">
        <v>1.21</v>
      </c>
      <c r="S2" t="n">
        <v>117.4</v>
      </c>
      <c r="T2" s="6" t="n">
        <v>187</v>
      </c>
      <c r="U2" s="6" t="n">
        <v>71</v>
      </c>
      <c r="V2" s="6" t="n">
        <v>95</v>
      </c>
      <c r="W2" s="6" t="n">
        <v>19</v>
      </c>
      <c r="X2" s="5" t="n">
        <v>8</v>
      </c>
      <c r="Y2" s="3" t="n">
        <v>2.1800000000000002</v>
      </c>
      <c r="Z2" s="3" t="n">
        <v>28.68</v>
      </c>
      <c r="AA2" s="5" t="n">
        <v>93.4</v>
      </c>
      <c r="AB2" s="6" t="n">
        <v>55</v>
      </c>
      <c r="AC2" s="3" t="n">
        <v>1.07</v>
      </c>
      <c r="AD2" s="6" t="n">
        <v>177</v>
      </c>
      <c r="AE2" s="3" t="n">
        <v>12.31638418079096</v>
      </c>
      <c r="AF2" s="3" t="n">
        <v>45.6</v>
      </c>
      <c r="AG2" s="3" t="n">
        <v>1.82</v>
      </c>
      <c r="AH2" s="6" t="n">
        <v>114</v>
      </c>
      <c r="AI2" s="6" t="n">
        <v>76</v>
      </c>
      <c r="AJ2" s="6" t="n">
        <v>153</v>
      </c>
      <c r="AK2" s="6" t="n">
        <v>66</v>
      </c>
      <c r="AL2" s="6" t="n">
        <v>96</v>
      </c>
      <c r="AM2" s="6" t="n">
        <v>19</v>
      </c>
      <c r="AN2" s="3" t="n">
        <v>2.08</v>
      </c>
      <c r="AO2" s="3" t="n">
        <v>33.549999999999997</v>
      </c>
      <c r="AP2" s="5" t="n">
        <v>86.6</v>
      </c>
      <c r="AQ2" s="6" t="n">
        <v>47</v>
      </c>
      <c r="AR2" s="3" t="n">
        <v>1.1000000000000001</v>
      </c>
      <c r="AS2" s="6" t="n">
        <v>171</v>
      </c>
      <c r="AT2" s="3" t="n">
        <v>41.2</v>
      </c>
      <c r="AU2" s="3" t="n">
        <v>1.76</v>
      </c>
      <c r="AV2" s="3" t="n">
        <v>12.163742690058479</v>
      </c>
      <c r="AW2" s="5" t="n">
        <v>12.6</v>
      </c>
      <c r="AX2" s="5" t="n">
        <v>14.4</v>
      </c>
      <c r="AY2" s="3" t="n">
        <v>38.115000000000002</v>
      </c>
      <c r="AZ2" s="3" t="n">
        <v>32.356999999999999</v>
      </c>
      <c r="BA2" s="3" t="n">
        <v>42.575000000000003</v>
      </c>
      <c r="BB2" s="3" t="n">
        <v>21.305</v>
      </c>
      <c r="BC2" s="3" t="n">
        <v>34.362903225806448</v>
      </c>
      <c r="BD2" s="3" t="n">
        <v>38.795000000000002</v>
      </c>
      <c r="BE2" s="6" t="n">
        <v>14655</v>
      </c>
      <c r="BF2" s="6" t="n">
        <v>13362</v>
      </c>
      <c r="BG2" s="10" t="n">
        <v>116</v>
      </c>
      <c r="BH2" s="4" t="n">
        <v>76.506885000000011</v>
      </c>
      <c r="BI2" s="10" t="n">
        <v>8.8747986599999997</v>
      </c>
      <c r="BJ2" s="9" t="n">
        <v>30</v>
      </c>
      <c r="BK2" s="10" t="n">
        <v>129</v>
      </c>
      <c r="BL2" s="10" t="n">
        <v>78.23781000000001</v>
      </c>
      <c r="BM2" s="10" t="n">
        <v>10.092677490000002</v>
      </c>
      <c r="BN2" s="9" t="n">
        <v>59</v>
      </c>
      <c r="BO2" s="5" t="n">
        <v>533.77191415121172</v>
      </c>
      <c r="BP2" s="5" t="n">
        <v>521.59972784822935</v>
      </c>
      <c r="BQ2" s="3" t="n">
        <v>70</v>
      </c>
      <c r="BR2" s="3" t="n">
        <v>140</v>
      </c>
      <c r="BS2" s="12" t="n">
        <v>2390.3820000000001</v>
      </c>
      <c r="BT2" s="12" t="n">
        <v>2774.4839999999999</v>
      </c>
      <c r="BU2" s="12" t="n">
        <v>1848.5889999999999</v>
      </c>
      <c r="BV2" s="12" t="n">
        <v>2557.5050000000001</v>
      </c>
      <c r="BW2" s="12" t="n">
        <v>2101.5149999999999</v>
      </c>
      <c r="BX2" s="12" t="n">
        <v>2634.375</v>
      </c>
      <c r="BY2" s="5" t="n">
        <v>46.683050000000001</v>
      </c>
      <c r="BZ2" s="5" t="n">
        <v>35.427140000000001</v>
      </c>
      <c r="CA2" s="5" t="n">
        <v>53.316949999999999</v>
      </c>
      <c r="CB2" s="5" t="n">
        <v>64.572860000000006</v>
      </c>
      <c r="CC2" s="3" t="n">
        <v>3.1</v>
      </c>
      <c r="CD2" s="3" t="n">
        <v>2.5106382978723403</v>
      </c>
      <c r="CE2" s="3" t="n">
        <v>2.4009216589861753</v>
      </c>
      <c r="CF2" s="3" t="n">
        <v>1.8599221789883269</v>
      </c>
      <c r="CG2" s="3" t="n">
        <v>2.7272727272727271</v>
      </c>
      <c r="CH2" s="3" t="n">
        <v>2.0904522613065328</v>
      </c>
      <c r="CI2" s="3" t="n">
        <v>1.2968640598424959</v>
      </c>
      <c r="CJ2" s="3" t="n">
        <v>0.90490264134588183</v>
      </c>
      <c r="CK2" s="3" t="n">
        <v>1.29878577465219</v>
      </c>
      <c r="CL2" s="3" t="n">
        <v>0.72724090792424656</v>
      </c>
      <c r="CM2" s="3" t="n">
        <v>1.2977653452325371</v>
      </c>
      <c r="CN2" s="3" t="n">
        <v>0.79352887654395354</v>
      </c>
      <c r="CO2" s="13" t="n">
        <v>1.53</v>
      </c>
      <c r="CP2" s="13" t="n">
        <v>1.19</v>
      </c>
      <c r="CQ2" s="13" t="n">
        <v>0.95</v>
      </c>
      <c r="CR2" s="13" t="n">
        <v>0.87</v>
      </c>
      <c r="CS2" s="6"/>
    </row>
    <row r="3">
      <c r="A3" s="6" t="n">
        <v>2</v>
      </c>
      <c r="B3" s="6" t="n">
        <v>1</v>
      </c>
      <c r="C3" s="3" t="n">
        <v>59.48</v>
      </c>
      <c r="D3" s="5" t="n">
        <v>171.5</v>
      </c>
      <c r="E3" s="5" t="n">
        <v>62.6</v>
      </c>
      <c r="F3" s="3" t="n">
        <v>21.283648819794472</v>
      </c>
      <c r="G3" s="6" t="n">
        <v>172.1</v>
      </c>
      <c r="H3" s="6" t="n">
        <v>61.3</v>
      </c>
      <c r="I3" s="3" t="n">
        <v>20.696587021382985</v>
      </c>
      <c r="J3" s="3" t="n">
        <v>4.09</v>
      </c>
      <c r="K3" s="3" t="n">
        <v>3.1</v>
      </c>
      <c r="L3" s="3" t="n">
        <v>8.68</v>
      </c>
      <c r="M3" s="3" t="n">
        <v>1.47</v>
      </c>
      <c r="N3" s="3" t="n">
        <v>152.85</v>
      </c>
      <c r="O3" s="3" t="n">
        <v>3.87</v>
      </c>
      <c r="P3" s="3" t="n">
        <v>3.04</v>
      </c>
      <c r="Q3" s="3" t="n">
        <v>8.9600000000000009</v>
      </c>
      <c r="R3" s="3" t="n">
        <v>1.54</v>
      </c>
      <c r="S3" t="n">
        <v>157.72999999999999</v>
      </c>
      <c r="T3" s="6" t="n">
        <v>195</v>
      </c>
      <c r="U3" s="6" t="n">
        <v>76</v>
      </c>
      <c r="V3" s="6" t="n">
        <v>92</v>
      </c>
      <c r="W3" s="6" t="n">
        <v>20</v>
      </c>
      <c r="X3" s="5" t="n">
        <v>13</v>
      </c>
      <c r="Y3" s="3" t="n">
        <v>2.42</v>
      </c>
      <c r="Z3" s="3" t="n">
        <v>38.659999999999997</v>
      </c>
      <c r="AA3" s="5" t="n">
        <v>97.1</v>
      </c>
      <c r="AB3" s="6" t="n">
        <v>53</v>
      </c>
      <c r="AC3" s="3" t="n">
        <v>1.25</v>
      </c>
      <c r="AD3" s="6" t="n">
        <v>185</v>
      </c>
      <c r="AE3" s="3" t="n">
        <v>13.081081081081081</v>
      </c>
      <c r="AF3" s="3" t="n">
        <v>28.15</v>
      </c>
      <c r="AG3" s="3" t="n">
        <v>2.2000000000000002</v>
      </c>
      <c r="AH3" s="6" t="n">
        <v>109</v>
      </c>
      <c r="AI3" s="6" t="n">
        <v>78</v>
      </c>
      <c r="AJ3" s="6" t="n">
        <v>201</v>
      </c>
      <c r="AK3" s="6" t="n">
        <v>68</v>
      </c>
      <c r="AL3" s="1"/>
      <c r="AM3" s="1"/>
      <c r="AN3" s="3" t="n">
        <v>2.67</v>
      </c>
      <c r="AO3" s="3" t="n">
        <v>43.56</v>
      </c>
      <c r="AP3" s="5" t="n">
        <v>113.4</v>
      </c>
      <c r="AQ3" s="6" t="n">
        <v>60</v>
      </c>
      <c r="AR3" s="3" t="n">
        <v>1.1299999999999999</v>
      </c>
      <c r="AS3" s="6" t="n">
        <v>181</v>
      </c>
      <c r="AT3" s="3" t="n">
        <v>29.6</v>
      </c>
      <c r="AU3" s="3" t="n">
        <v>1.49</v>
      </c>
      <c r="AV3" s="3" t="n">
        <v>14.751381215469614</v>
      </c>
      <c r="AW3" s="5" t="n">
        <v>9.9</v>
      </c>
      <c r="AX3" s="5" t="n">
        <v>11.8</v>
      </c>
      <c r="AY3" s="3" t="n">
        <v>43.337000000000003</v>
      </c>
      <c r="AZ3" s="3" t="n">
        <v>17.260000000000002</v>
      </c>
      <c r="BA3" s="3" t="n">
        <v>27.571884984025562</v>
      </c>
      <c r="BB3" s="3" t="n">
        <v>17.170999999999999</v>
      </c>
      <c r="BC3" s="3" t="n">
        <v>28.011419249592169</v>
      </c>
      <c r="BD3" s="3" t="n">
        <v>41.911000000000001</v>
      </c>
      <c r="BE3" s="6" t="n">
        <v>15114</v>
      </c>
      <c r="BF3" s="6" t="n">
        <v>14490</v>
      </c>
      <c r="BG3" s="10" t="n">
        <v>131</v>
      </c>
      <c r="BH3" s="10" t="n">
        <v>75</v>
      </c>
      <c r="BI3" s="10" t="n">
        <v>9.86</v>
      </c>
      <c r="BJ3" s="9" t="n">
        <v>50</v>
      </c>
      <c r="BK3" s="10" t="n">
        <v>154</v>
      </c>
      <c r="BL3" s="10" t="n">
        <v>85</v>
      </c>
      <c r="BM3" s="10" t="n">
        <v>13.04</v>
      </c>
      <c r="BN3" s="9" t="n">
        <v>19</v>
      </c>
      <c r="BO3" s="5" t="n">
        <v>609.6975124707883</v>
      </c>
      <c r="BP3" s="5" t="n">
        <v>650.39850897399526</v>
      </c>
      <c r="BQ3" s="3" t="n">
        <v>60</v>
      </c>
      <c r="BR3" s="3" t="n">
        <v>120</v>
      </c>
      <c r="BS3" s="12" t="n">
        <v>4847.1310000000003</v>
      </c>
      <c r="BT3" s="12" t="n">
        <v>4398.1059999999998</v>
      </c>
      <c r="BU3" s="12" t="n">
        <v>2739.0459999999998</v>
      </c>
      <c r="BV3" s="12" t="n">
        <v>2103.8890000000001</v>
      </c>
      <c r="BW3" s="12" t="n">
        <v>3788.069</v>
      </c>
      <c r="BX3" s="12" t="n">
        <v>3112.7620000000002</v>
      </c>
      <c r="BY3" s="5" t="n">
        <v>49.761899999999997</v>
      </c>
      <c r="BZ3" s="5" t="n">
        <v>43.974629999999998</v>
      </c>
      <c r="CA3" s="5" t="n">
        <v>50.238100000000003</v>
      </c>
      <c r="CB3" s="5" t="n">
        <v>56.025370000000002</v>
      </c>
      <c r="CC3" s="3" t="n">
        <v>3.4784688995215309</v>
      </c>
      <c r="CD3" s="3" t="n">
        <v>4.3461538461538458</v>
      </c>
      <c r="CE3" s="3" t="n">
        <v>2.5450236966824646</v>
      </c>
      <c r="CF3" s="3" t="n">
        <v>2.5132075471698112</v>
      </c>
      <c r="CG3" s="3" t="n">
        <v>3.0095238095238095</v>
      </c>
      <c r="CH3" s="3" t="n">
        <v>3.3192389006342493</v>
      </c>
      <c r="CI3" s="3" t="n">
        <v>0.71763465957845018</v>
      </c>
      <c r="CJ3" s="3" t="n">
        <v>0.98818767026219401</v>
      </c>
      <c r="CK3" s="3" t="n">
        <v>0.92916417426018993</v>
      </c>
      <c r="CL3" s="3" t="n">
        <v>1.1945532525714764</v>
      </c>
      <c r="CM3" s="3" t="n">
        <v>0.79447435043959347</v>
      </c>
      <c r="CN3" s="3" t="n">
        <v>1.0663322525562413</v>
      </c>
      <c r="CO3" s="3" t="n">
        <v>1.6248891532314711</v>
      </c>
      <c r="CP3" s="3" t="n">
        <v>1.1167965252467482</v>
      </c>
      <c r="CQ3" s="3" t="n">
        <v>0.99415048999093303</v>
      </c>
      <c r="CR3" s="3" t="n">
        <v>0.74989737735730344</v>
      </c>
      <c r="CS3" s="6"/>
    </row>
    <row r="4">
      <c r="A4" s="6" t="n">
        <v>3</v>
      </c>
      <c r="B4" s="6" t="n">
        <v>2</v>
      </c>
      <c r="C4" s="3" t="n">
        <v>54.58</v>
      </c>
      <c r="D4" s="5" t="n">
        <v>168.5</v>
      </c>
      <c r="E4" s="5" t="n">
        <v>73.900000000000006</v>
      </c>
      <c r="F4" s="3" t="n">
        <v>26.028229534468032</v>
      </c>
      <c r="G4" s="6" t="n">
        <v>169</v>
      </c>
      <c r="H4" s="6" t="n">
        <v>81</v>
      </c>
      <c r="I4" s="3" t="n">
        <v>28.360351528307834</v>
      </c>
      <c r="J4" s="3" t="n">
        <v>3.7</v>
      </c>
      <c r="K4" s="3" t="n">
        <v>2.68</v>
      </c>
      <c r="L4" s="3" t="n">
        <v>7</v>
      </c>
      <c r="M4" s="3" t="n">
        <v>1.36</v>
      </c>
      <c r="N4" s="3" t="n">
        <v>96.4</v>
      </c>
      <c r="O4" s="3" t="n">
        <v>3.56</v>
      </c>
      <c r="P4" s="3" t="n">
        <v>2.5299999999999998</v>
      </c>
      <c r="Q4" s="3" t="n">
        <v>7.34</v>
      </c>
      <c r="R4" s="3" t="n">
        <v>1.2</v>
      </c>
      <c r="S4" t="n">
        <v>91.98</v>
      </c>
      <c r="T4" s="6" t="n">
        <v>157</v>
      </c>
      <c r="U4" s="6" t="n">
        <v>89</v>
      </c>
      <c r="V4" s="6" t="n">
        <v>96</v>
      </c>
      <c r="W4" s="6" t="n">
        <v>19</v>
      </c>
      <c r="X4" s="5" t="n">
        <v>8.5</v>
      </c>
      <c r="Y4" s="3" t="n">
        <v>2.0099999999999998</v>
      </c>
      <c r="Z4" s="3" t="n">
        <v>27.2</v>
      </c>
      <c r="AA4" s="5" t="n">
        <v>91</v>
      </c>
      <c r="AB4" s="6" t="n">
        <v>44</v>
      </c>
      <c r="AC4" s="3" t="n">
        <v>1.24</v>
      </c>
      <c r="AD4" s="6" t="n">
        <v>171</v>
      </c>
      <c r="AE4" s="3" t="n">
        <v>11.754385964912279</v>
      </c>
      <c r="AF4" s="3" t="n">
        <v>28.59</v>
      </c>
      <c r="AG4" s="3" t="n">
        <v>1.54</v>
      </c>
      <c r="AH4" s="6" t="n">
        <v>113</v>
      </c>
      <c r="AI4" s="6" t="n">
        <v>81</v>
      </c>
      <c r="AJ4" s="1"/>
      <c r="AK4" s="1"/>
      <c r="AL4" s="6" t="n">
        <v>92</v>
      </c>
      <c r="AM4" s="6" t="n">
        <v>17</v>
      </c>
      <c r="AN4" s="3" t="n">
        <v>1.81</v>
      </c>
      <c r="AO4" s="3" t="n">
        <v>23.91</v>
      </c>
      <c r="AP4" s="5" t="n">
        <v>84.3</v>
      </c>
      <c r="AQ4" s="6" t="n">
        <v>44</v>
      </c>
      <c r="AR4" s="3" t="n">
        <v>1.22</v>
      </c>
      <c r="AS4" s="6" t="n">
        <v>176</v>
      </c>
      <c r="AT4" s="3" t="n">
        <v>33.700000000000003</v>
      </c>
      <c r="AU4" s="1"/>
      <c r="AV4" s="3" t="n">
        <v>10.284090909090908</v>
      </c>
      <c r="AW4" s="5" t="n">
        <v>9.1999999999999993</v>
      </c>
      <c r="AX4" s="5" t="n">
        <v>10.7</v>
      </c>
      <c r="AY4" s="3" t="n">
        <v>40.091000000000001</v>
      </c>
      <c r="AZ4" s="3" t="n">
        <v>31.37</v>
      </c>
      <c r="BA4" s="3" t="n">
        <v>42.449255751014881</v>
      </c>
      <c r="BB4" s="3" t="n">
        <v>31.9</v>
      </c>
      <c r="BC4" s="3" t="n">
        <v>39.382716049382715</v>
      </c>
      <c r="BD4" s="3" t="n">
        <v>41.433</v>
      </c>
      <c r="BE4" s="6" t="n">
        <v>15057</v>
      </c>
      <c r="BF4" s="6" t="n">
        <v>15227</v>
      </c>
      <c r="BG4" s="10" t="n">
        <v>122</v>
      </c>
      <c r="BH4" s="10" t="n">
        <v>84.726620000000025</v>
      </c>
      <c r="BI4" s="10" t="n">
        <v>10.336647640000002</v>
      </c>
      <c r="BJ4" s="9" t="n">
        <v>53</v>
      </c>
      <c r="BK4" s="10" t="n">
        <v>109</v>
      </c>
      <c r="BL4" s="10" t="n">
        <v>83.206860000000006</v>
      </c>
      <c r="BM4" s="10" t="n">
        <v>9.0695477400000009</v>
      </c>
      <c r="BN4" s="9" t="n">
        <v>37</v>
      </c>
      <c r="BO4" s="5" t="n">
        <v>671.7409018924875</v>
      </c>
      <c r="BP4" s="5" t="n">
        <v>622.2692613758901</v>
      </c>
      <c r="BQ4" s="3" t="n">
        <v>0</v>
      </c>
      <c r="BR4" s="3" t="n">
        <v>60</v>
      </c>
      <c r="BS4" s="12" t="n">
        <v>3344.9720000000002</v>
      </c>
      <c r="BT4" s="12" t="n">
        <v>3063.25</v>
      </c>
      <c r="BU4" s="12" t="n">
        <v>2593.973</v>
      </c>
      <c r="BV4" s="12" t="n">
        <v>2438.7869999999998</v>
      </c>
      <c r="BW4" s="12" t="n">
        <v>2931.1840000000002</v>
      </c>
      <c r="BX4" s="12" t="n">
        <v>2758.3359999999998</v>
      </c>
      <c r="BY4" s="5" t="n">
        <v>44.901609999999998</v>
      </c>
      <c r="BZ4" s="5" t="n">
        <v>51.171880000000002</v>
      </c>
      <c r="CA4" s="5" t="n">
        <v>55.098390000000002</v>
      </c>
      <c r="CB4" s="5" t="n">
        <v>48.828130000000002</v>
      </c>
      <c r="CC4" s="3" t="n">
        <v>3.6653386454183265</v>
      </c>
      <c r="CD4" s="3" t="n">
        <v>3.3206106870229006</v>
      </c>
      <c r="CE4" s="3" t="n">
        <v>2.8766233766233764</v>
      </c>
      <c r="CF4" s="3" t="n">
        <v>2.3759999999999999</v>
      </c>
      <c r="CG4" s="3" t="n">
        <v>3.2307692307692308</v>
      </c>
      <c r="CH4" s="3" t="n">
        <v>2.859375</v>
      </c>
      <c r="CI4" s="3" t="n">
        <v>1.0957755731567282</v>
      </c>
      <c r="CJ4" s="3" t="n">
        <v>1.0840155728630556</v>
      </c>
      <c r="CK4" s="3" t="n">
        <v>1.1089641848200908</v>
      </c>
      <c r="CL4" s="3" t="n">
        <v>0.97425496164433634</v>
      </c>
      <c r="CM4" s="3" t="n">
        <v>1.1022063054029627</v>
      </c>
      <c r="CN4" s="3" t="n">
        <v>1.0366303238047927</v>
      </c>
      <c r="CO4" s="13" t="n">
        <v>0.6</v>
      </c>
      <c r="CP4" s="13" t="n">
        <v>0.52</v>
      </c>
      <c r="CQ4" s="13" t="n">
        <v>0.69</v>
      </c>
      <c r="CR4" s="13" t="n">
        <v>0.51</v>
      </c>
      <c r="CS4" s="6"/>
    </row>
    <row r="5">
      <c r="A5" s="6" t="n">
        <v>6</v>
      </c>
      <c r="B5" s="6" t="n">
        <v>1</v>
      </c>
      <c r="C5" s="3" t="n">
        <v>64.290000000000006</v>
      </c>
      <c r="D5" s="5" t="n">
        <v>165.5</v>
      </c>
      <c r="E5" s="5" t="n">
        <v>81.599999999999994</v>
      </c>
      <c r="F5" s="3" t="n">
        <v>29.791622931517598</v>
      </c>
      <c r="G5" s="6" t="n">
        <v>164.7</v>
      </c>
      <c r="H5" s="6" t="n">
        <v>75.900000000000006</v>
      </c>
      <c r="I5" s="3" t="n">
        <v>27.98044244489347</v>
      </c>
      <c r="J5" s="3" t="n">
        <v>3.42</v>
      </c>
      <c r="K5" s="3" t="n">
        <v>2.77</v>
      </c>
      <c r="L5" s="3" t="n">
        <v>6.64</v>
      </c>
      <c r="M5" s="3" t="n">
        <v>1.31</v>
      </c>
      <c r="N5" s="3" t="n">
        <v>98.56</v>
      </c>
      <c r="O5" s="3" t="n">
        <v>3.44</v>
      </c>
      <c r="P5" s="3" t="n">
        <v>2.8</v>
      </c>
      <c r="Q5" s="3" t="n">
        <v>7.14</v>
      </c>
      <c r="R5" s="3" t="n">
        <v>1.25</v>
      </c>
      <c r="S5" t="n">
        <v>87.93</v>
      </c>
      <c r="T5" s="6" t="n">
        <v>237</v>
      </c>
      <c r="U5" s="6" t="n">
        <v>70</v>
      </c>
      <c r="V5" s="6" t="n">
        <v>96</v>
      </c>
      <c r="W5" s="6" t="n">
        <v>19</v>
      </c>
      <c r="X5" s="5" t="n">
        <v>10</v>
      </c>
      <c r="Y5" s="3" t="n">
        <v>2.14</v>
      </c>
      <c r="Z5" s="3" t="n">
        <v>26.23</v>
      </c>
      <c r="AA5" s="5" t="n">
        <v>84.5</v>
      </c>
      <c r="AB5" s="6" t="n">
        <v>45</v>
      </c>
      <c r="AC5" s="3" t="n">
        <v>1.17</v>
      </c>
      <c r="AD5" s="6" t="n">
        <v>159</v>
      </c>
      <c r="AE5" s="3" t="n">
        <v>13.459119496855346</v>
      </c>
      <c r="AF5" s="3" t="n">
        <v>29</v>
      </c>
      <c r="AG5" s="3" t="n">
        <v>1.54</v>
      </c>
      <c r="AH5" s="6" t="n">
        <v>171</v>
      </c>
      <c r="AI5" s="6" t="n">
        <v>89</v>
      </c>
      <c r="AJ5" s="6" t="n">
        <v>212</v>
      </c>
      <c r="AK5" s="6" t="n">
        <v>44</v>
      </c>
      <c r="AL5" s="1"/>
      <c r="AM5" s="6" t="n">
        <v>17</v>
      </c>
      <c r="AN5" s="3" t="n">
        <v>1.97</v>
      </c>
      <c r="AO5" s="3" t="n">
        <v>25.96</v>
      </c>
      <c r="AP5" s="5" t="n">
        <v>75.5</v>
      </c>
      <c r="AQ5" s="6" t="n">
        <v>41</v>
      </c>
      <c r="AR5" s="3" t="n">
        <v>1.19</v>
      </c>
      <c r="AS5" s="6" t="n">
        <v>157</v>
      </c>
      <c r="AT5" s="3" t="n">
        <v>27.9</v>
      </c>
      <c r="AU5" s="3" t="n">
        <v>1.87</v>
      </c>
      <c r="AV5" s="3" t="n">
        <v>12.547770700636942</v>
      </c>
      <c r="AW5" s="5" t="n">
        <v>7.1</v>
      </c>
      <c r="AX5" s="5" t="n">
        <v>5.3</v>
      </c>
      <c r="AY5" s="3" t="n">
        <v>41.332999999999998</v>
      </c>
      <c r="AZ5" s="3" t="n">
        <v>35.167999999999999</v>
      </c>
      <c r="BA5" s="3" t="n">
        <v>43.098039215686278</v>
      </c>
      <c r="BB5" s="3" t="n">
        <v>30.971</v>
      </c>
      <c r="BC5" s="3" t="n">
        <v>40.805006587615281</v>
      </c>
      <c r="BD5" s="3" t="n">
        <v>42.841999999999999</v>
      </c>
      <c r="BE5" s="6" t="n">
        <v>14850</v>
      </c>
      <c r="BF5" s="6" t="n">
        <v>14291</v>
      </c>
      <c r="BG5" s="10" t="n">
        <v>144</v>
      </c>
      <c r="BH5" s="10" t="n">
        <v>90.112504999999985</v>
      </c>
      <c r="BI5" s="10" t="n">
        <v>12.976200719999998</v>
      </c>
      <c r="BJ5" s="9" t="n">
        <v>30</v>
      </c>
      <c r="BK5" s="10" t="n">
        <v>133</v>
      </c>
      <c r="BL5" s="10" t="n">
        <v>83.883529999999993</v>
      </c>
      <c r="BM5" s="10" t="n">
        <v>11.156509489999998</v>
      </c>
      <c r="BN5" s="9" t="n">
        <v>18</v>
      </c>
      <c r="BP5" s="5" t="n">
        <v>540.53836920504466</v>
      </c>
      <c r="BQ5" s="3" t="n">
        <v>30</v>
      </c>
      <c r="BR5" s="3" t="n">
        <v>70</v>
      </c>
      <c r="BS5" s="12" t="n">
        <v>3948.47</v>
      </c>
      <c r="BT5" s="12" t="n">
        <v>4558.3860000000004</v>
      </c>
      <c r="BU5" s="12" t="n">
        <v>2670.4050000000002</v>
      </c>
      <c r="BV5" s="12" t="n">
        <v>2876.92</v>
      </c>
      <c r="BW5" s="12" t="n">
        <v>3088.114</v>
      </c>
      <c r="BX5" s="12" t="n">
        <v>3276.442</v>
      </c>
      <c r="BY5" s="5" t="n">
        <v>32.682929999999999</v>
      </c>
      <c r="BZ5" s="5" t="n">
        <v>23.76033</v>
      </c>
      <c r="CA5" s="5" t="n">
        <v>67.317070000000001</v>
      </c>
      <c r="CB5" s="5" t="n">
        <v>76.239670000000004</v>
      </c>
      <c r="CC5" s="3" t="n">
        <v>3.6641791044776117</v>
      </c>
      <c r="CD5" s="3" t="n">
        <v>4.3565217391304349</v>
      </c>
      <c r="CE5" s="3" t="n">
        <v>2.7101449275362319</v>
      </c>
      <c r="CF5" s="3" t="n">
        <v>3.1463414634146343</v>
      </c>
      <c r="CG5" s="3" t="n">
        <v>3.0219512195121951</v>
      </c>
      <c r="CH5" s="3" t="n">
        <v>3.4338842975206614</v>
      </c>
      <c r="CI5" s="3" t="n">
        <v>0.92799965550233532</v>
      </c>
      <c r="CJ5" s="3" t="n">
        <v>0.95571577455431755</v>
      </c>
      <c r="CK5" s="3" t="n">
        <v>1.0148817524975928</v>
      </c>
      <c r="CL5" s="3" t="n">
        <v>1.0936493193242505</v>
      </c>
      <c r="CM5" s="3" t="n">
        <v>0.97857505020739677</v>
      </c>
      <c r="CN5" s="3" t="n">
        <v>1.0480528683572494</v>
      </c>
      <c r="CO5" s="3" t="n">
        <v>0.80958941754000824</v>
      </c>
      <c r="CP5" s="3" t="n">
        <v>0.8216569627041076</v>
      </c>
      <c r="CQ5" s="3" t="n">
        <v>1.0072666746788772</v>
      </c>
      <c r="CR5" s="3" t="n">
        <v>0.97698031638753946</v>
      </c>
      <c r="CS5" s="6"/>
    </row>
    <row r="6">
      <c r="A6" s="6" t="n">
        <v>7</v>
      </c>
      <c r="B6" s="6" t="n">
        <v>2</v>
      </c>
      <c r="C6" s="3" t="n">
        <v>63.73</v>
      </c>
      <c r="D6" s="5" t="n">
        <v>182</v>
      </c>
      <c r="E6" s="5" t="n">
        <v>76.7</v>
      </c>
      <c r="F6" s="3" t="n">
        <v>23.15541601255887</v>
      </c>
      <c r="G6" s="6" t="n">
        <v>181</v>
      </c>
      <c r="H6" s="6" t="n">
        <v>78</v>
      </c>
      <c r="I6" s="3" t="n">
        <v>23.808797045267237</v>
      </c>
      <c r="J6" s="3" t="n">
        <v>4.26</v>
      </c>
      <c r="K6" s="3" t="n">
        <v>3.31</v>
      </c>
      <c r="L6" s="3" t="n">
        <v>6.85</v>
      </c>
      <c r="M6" s="3" t="n">
        <v>1.0900000000000001</v>
      </c>
      <c r="N6" s="3" t="n">
        <v>144.01</v>
      </c>
      <c r="O6" s="3" t="n">
        <v>4.34</v>
      </c>
      <c r="P6" s="3" t="n">
        <v>3.29</v>
      </c>
      <c r="Q6" s="3" t="n">
        <v>6.65</v>
      </c>
      <c r="R6" s="3" t="n">
        <v>1.07</v>
      </c>
      <c r="S6" t="n">
        <v>139.05000000000001</v>
      </c>
      <c r="T6" s="1"/>
      <c r="U6" s="1"/>
      <c r="V6" s="6" t="n">
        <v>93</v>
      </c>
      <c r="W6" s="6" t="n">
        <v>19</v>
      </c>
      <c r="X6" s="5" t="n">
        <v>7.5</v>
      </c>
      <c r="Y6" s="3" t="n">
        <v>1.89</v>
      </c>
      <c r="Z6" s="3" t="n">
        <v>24.64</v>
      </c>
      <c r="AA6" s="5" t="n">
        <v>60.2</v>
      </c>
      <c r="AB6" s="6" t="n">
        <v>25</v>
      </c>
      <c r="AC6" s="3" t="n">
        <v>1.1599999999999999</v>
      </c>
      <c r="AD6" s="6" t="n">
        <v>178</v>
      </c>
      <c r="AE6" s="3" t="n">
        <v>10.617977528089888</v>
      </c>
      <c r="AF6" s="3" t="n">
        <v>25.96</v>
      </c>
      <c r="AG6" s="3" t="n">
        <v>1.53</v>
      </c>
      <c r="AH6" s="6" t="n">
        <v>139</v>
      </c>
      <c r="AI6" s="6" t="n">
        <v>82</v>
      </c>
      <c r="AJ6" s="6" t="n">
        <v>209</v>
      </c>
      <c r="AK6" s="6" t="n">
        <v>71</v>
      </c>
      <c r="AL6" s="6" t="n">
        <v>93</v>
      </c>
      <c r="AM6" s="6" t="n">
        <v>18</v>
      </c>
      <c r="AN6" s="3" t="n">
        <v>1.89</v>
      </c>
      <c r="AO6" s="3" t="n">
        <v>24.23</v>
      </c>
      <c r="AP6" s="5" t="n">
        <v>67.2</v>
      </c>
      <c r="AQ6" s="6" t="n">
        <v>28</v>
      </c>
      <c r="AR6" s="3" t="n">
        <v>1.1000000000000001</v>
      </c>
      <c r="AS6" s="6" t="n">
        <v>179</v>
      </c>
      <c r="AT6" s="3" t="n">
        <v>26.9</v>
      </c>
      <c r="AU6" s="3" t="n">
        <v>1.69</v>
      </c>
      <c r="AV6" s="3" t="n">
        <v>10.558659217877095</v>
      </c>
      <c r="AW6" s="5" t="n">
        <v>6</v>
      </c>
      <c r="AX6" s="5" t="n">
        <v>6.3</v>
      </c>
      <c r="AY6" s="3" t="n">
        <v>43.633000000000003</v>
      </c>
      <c r="AZ6" s="3" t="n">
        <v>30.262</v>
      </c>
      <c r="BA6" s="3" t="n">
        <v>39.455019556714468</v>
      </c>
      <c r="BB6" s="3" t="n">
        <v>31.617000000000001</v>
      </c>
      <c r="BC6" s="3" t="n">
        <v>40.534615384615385</v>
      </c>
      <c r="BD6" s="3" t="n">
        <v>43.920999999999999</v>
      </c>
      <c r="BE6" s="6" t="n">
        <v>15284</v>
      </c>
      <c r="BF6" s="6" t="n">
        <v>15189</v>
      </c>
      <c r="BG6" s="10" t="n">
        <v>131</v>
      </c>
      <c r="BH6" s="10" t="n">
        <v>72.568540000000027</v>
      </c>
      <c r="BI6" s="10" t="n">
        <v>9.5064787400000039</v>
      </c>
      <c r="BJ6" s="9" t="n">
        <v>70</v>
      </c>
      <c r="BK6" s="10" t="n">
        <v>133</v>
      </c>
      <c r="BL6" s="10" t="n">
        <v>70</v>
      </c>
      <c r="BM6" s="10" t="n">
        <v>9.39</v>
      </c>
      <c r="BN6" s="9" t="n">
        <v>51</v>
      </c>
      <c r="BQ6" s="3" t="n">
        <v>15</v>
      </c>
      <c r="BR6" s="3" t="n">
        <v>40</v>
      </c>
      <c r="BS6" s="12" t="n">
        <v>3664.5</v>
      </c>
      <c r="BT6" s="12" t="n">
        <v>3565.152</v>
      </c>
      <c r="BU6" s="12" t="n">
        <v>2428.5309999999999</v>
      </c>
      <c r="BV6" s="12" t="n">
        <v>2795.069</v>
      </c>
      <c r="BW6" s="12" t="n">
        <v>2981.86</v>
      </c>
      <c r="BX6" s="12" t="n">
        <v>3154.4409999999998</v>
      </c>
      <c r="BY6" s="5" t="n">
        <v>44.768859999999997</v>
      </c>
      <c r="BZ6" s="5" t="n">
        <v>46.666670000000003</v>
      </c>
      <c r="CA6" s="5" t="n">
        <v>55.231140000000003</v>
      </c>
      <c r="CB6" s="5" t="n">
        <v>53.333329999999997</v>
      </c>
      <c r="CC6" s="3" t="n">
        <v>3.7173913043478262</v>
      </c>
      <c r="CD6" s="3" t="n">
        <v>3.9642857142857144</v>
      </c>
      <c r="CE6" s="3" t="n">
        <v>2.5462555066079293</v>
      </c>
      <c r="CF6" s="3" t="n">
        <v>2.90625</v>
      </c>
      <c r="CG6" s="3" t="n">
        <v>3.0705596107055961</v>
      </c>
      <c r="CH6" s="3" t="n">
        <v>3.4</v>
      </c>
      <c r="CI6" s="3" t="n">
        <v>1.0144334601207079</v>
      </c>
      <c r="CJ6" s="3" t="n">
        <v>1.1119542039156713</v>
      </c>
      <c r="CK6" s="3" t="n">
        <v>1.0484754003109911</v>
      </c>
      <c r="CL6" s="3" t="n">
        <v>1.0397775569213223</v>
      </c>
      <c r="CM6" s="3" t="n">
        <v>1.0297462656896283</v>
      </c>
      <c r="CN6" s="3" t="n">
        <v>1.077845474076</v>
      </c>
      <c r="CO6" s="13" t="n">
        <v>0.56999999999999995</v>
      </c>
      <c r="CP6" s="13" t="n">
        <v>0.61</v>
      </c>
      <c r="CQ6" s="13" t="n">
        <v>0.75</v>
      </c>
      <c r="CR6" s="13" t="n">
        <v>0.74</v>
      </c>
      <c r="CS6" s="6"/>
    </row>
    <row r="7">
      <c r="A7" s="6" t="n">
        <v>9</v>
      </c>
      <c r="B7" s="6" t="n">
        <v>2</v>
      </c>
      <c r="C7" s="3" t="n">
        <v>70.09</v>
      </c>
      <c r="D7" s="5" t="n">
        <v>166</v>
      </c>
      <c r="E7" s="5" t="n">
        <v>85.7</v>
      </c>
      <c r="F7" s="3" t="n">
        <v>31.100304833793007</v>
      </c>
      <c r="G7" s="6" t="n">
        <v>166</v>
      </c>
      <c r="H7" s="6" t="n">
        <v>83.4</v>
      </c>
      <c r="I7" s="3" t="n">
        <v>30.265640876760056</v>
      </c>
      <c r="J7" s="3" t="n">
        <v>2.71</v>
      </c>
      <c r="K7" s="3" t="n">
        <v>2.23</v>
      </c>
      <c r="L7" s="3" t="n">
        <v>7.33</v>
      </c>
      <c r="M7" s="3" t="n">
        <v>1.54</v>
      </c>
      <c r="N7" s="3" t="n">
        <v>80.819999999999993</v>
      </c>
      <c r="O7" s="3" t="n">
        <v>3.07</v>
      </c>
      <c r="P7" s="3" t="n">
        <v>2.4300000000000002</v>
      </c>
      <c r="Q7" s="3" t="n">
        <v>7.82</v>
      </c>
      <c r="R7" s="3" t="n">
        <v>1.59</v>
      </c>
      <c r="S7" t="n">
        <v>84.1</v>
      </c>
      <c r="T7" s="1"/>
      <c r="U7" s="1"/>
      <c r="V7" s="6" t="n">
        <v>94</v>
      </c>
      <c r="W7" s="6" t="n">
        <v>17</v>
      </c>
      <c r="X7" s="5" t="n">
        <v>10</v>
      </c>
      <c r="Y7" s="3" t="n">
        <v>2.14</v>
      </c>
      <c r="Z7" s="3" t="n">
        <v>24.97</v>
      </c>
      <c r="AA7" s="5" t="n">
        <v>57.4</v>
      </c>
      <c r="AB7" s="6" t="n">
        <v>30</v>
      </c>
      <c r="AC7" s="3" t="n">
        <v>0.99</v>
      </c>
      <c r="AD7" s="6" t="n">
        <v>148</v>
      </c>
      <c r="AE7" s="3" t="n">
        <v>14.45945945945946</v>
      </c>
      <c r="AF7" s="3" t="n">
        <v>24.47</v>
      </c>
      <c r="AG7" s="3" t="n">
        <v>1.53</v>
      </c>
      <c r="AH7" s="6" t="n">
        <v>120</v>
      </c>
      <c r="AI7" s="6" t="n">
        <v>76</v>
      </c>
      <c r="AJ7" s="6" t="n">
        <v>212</v>
      </c>
      <c r="AK7" s="6" t="n">
        <v>77</v>
      </c>
      <c r="AL7" s="6" t="n">
        <v>94</v>
      </c>
      <c r="AM7" s="6" t="n">
        <v>17</v>
      </c>
      <c r="AN7" s="3" t="n">
        <v>1.7</v>
      </c>
      <c r="AO7" s="3" t="n">
        <v>20.38</v>
      </c>
      <c r="AP7" s="5" t="n">
        <v>55.1</v>
      </c>
      <c r="AQ7" s="6" t="n">
        <v>29</v>
      </c>
      <c r="AR7" s="3" t="n">
        <v>1.05</v>
      </c>
      <c r="AS7" s="6" t="n">
        <v>150</v>
      </c>
      <c r="AT7" s="1"/>
      <c r="AU7" s="1"/>
      <c r="AV7" s="3" t="n">
        <v>11.333333333333334</v>
      </c>
      <c r="AW7" s="5" t="n">
        <v>4.7</v>
      </c>
      <c r="AX7" s="5" t="n">
        <v>9.4</v>
      </c>
      <c r="AY7" s="3" t="n">
        <v>50.664999999999999</v>
      </c>
      <c r="AZ7" s="3" t="n">
        <v>33.063000000000002</v>
      </c>
      <c r="BA7" s="3" t="n">
        <v>38.579929988331394</v>
      </c>
      <c r="BB7" s="3" t="n">
        <v>31.245999999999999</v>
      </c>
      <c r="BC7" s="3" t="n">
        <v>37.465227817745799</v>
      </c>
      <c r="BD7" s="3" t="n">
        <v>49.445</v>
      </c>
      <c r="BE7" s="6" t="n">
        <v>18075</v>
      </c>
      <c r="BF7" s="6" t="n">
        <v>17056</v>
      </c>
      <c r="BG7" s="10" t="n">
        <v>91</v>
      </c>
      <c r="BH7" s="10" t="n">
        <v>104.23151499999999</v>
      </c>
      <c r="BI7" s="10" t="n">
        <v>9.4850678649999995</v>
      </c>
      <c r="BJ7" s="9" t="n">
        <v>55</v>
      </c>
      <c r="BK7" s="10" t="n">
        <v>99</v>
      </c>
      <c r="BL7" s="10" t="n">
        <v>83.052999999999997</v>
      </c>
      <c r="BM7" s="10" t="n">
        <v>8.2222469999999994</v>
      </c>
      <c r="BN7" s="9" t="n">
        <v>50</v>
      </c>
      <c r="BO7" s="5" t="n">
        <v>783.38027386940598</v>
      </c>
      <c r="BP7" s="5" t="n">
        <v>724.43729420753311</v>
      </c>
      <c r="BQ7" s="3" t="n">
        <v>180</v>
      </c>
      <c r="BR7" s="3" t="n">
        <v>225</v>
      </c>
      <c r="BS7" s="12" t="n">
        <v>6707.1809999999996</v>
      </c>
      <c r="BT7" s="12" t="n">
        <v>2985.9630000000002</v>
      </c>
      <c r="BU7" s="12" t="n">
        <v>4858.1490000000003</v>
      </c>
      <c r="BV7" s="12" t="n">
        <v>3093.788</v>
      </c>
      <c r="BW7" s="12" t="n">
        <v>5599.3379999999997</v>
      </c>
      <c r="BX7" s="12" t="n">
        <v>3015.5569999999998</v>
      </c>
      <c r="BY7" s="5" t="n">
        <v>40.085290000000001</v>
      </c>
      <c r="BZ7" s="5" t="n">
        <v>72.553700000000006</v>
      </c>
      <c r="CA7" s="5" t="n">
        <v>59.914709999999999</v>
      </c>
      <c r="CB7" s="5" t="n">
        <v>27.446300000000001</v>
      </c>
      <c r="CC7" s="3" t="n">
        <v>3.3882978723404253</v>
      </c>
      <c r="CD7" s="3" t="n">
        <v>3.2236842105263159</v>
      </c>
      <c r="CE7" s="3" t="n">
        <v>2.4697508896797151</v>
      </c>
      <c r="CF7" s="3" t="n">
        <v>2.8956521739130436</v>
      </c>
      <c r="CG7" s="3" t="n">
        <v>2.8379530916844349</v>
      </c>
      <c r="CH7" s="3" t="n">
        <v>3.1336515513126493</v>
      </c>
      <c r="CI7" s="3" t="n">
        <v>0.50517468992325976</v>
      </c>
      <c r="CJ7" s="3" t="n">
        <v>1.0796128528579945</v>
      </c>
      <c r="CK7" s="3" t="n">
        <v>0.50837284210745259</v>
      </c>
      <c r="CL7" s="3" t="n">
        <v>0.93595692270911324</v>
      </c>
      <c r="CM7" s="3" t="n">
        <v>0.50683720920048525</v>
      </c>
      <c r="CN7" s="3" t="n">
        <v>1.0391617508109645</v>
      </c>
      <c r="CO7" s="13" t="n">
        <v>0.67</v>
      </c>
      <c r="CP7" s="13" t="n">
        <v>0.62</v>
      </c>
      <c r="CQ7" s="13" t="n">
        <v>0.86</v>
      </c>
      <c r="CR7" s="13" t="n">
        <v>0.83</v>
      </c>
      <c r="CS7" s="6"/>
    </row>
    <row r="8">
      <c r="A8" s="6" t="n">
        <v>11</v>
      </c>
      <c r="B8" s="6" t="n">
        <v>1</v>
      </c>
      <c r="C8" s="3" t="n">
        <v>62.97</v>
      </c>
      <c r="D8" s="5" t="n">
        <v>167.5</v>
      </c>
      <c r="E8" s="5" t="n">
        <v>89.3</v>
      </c>
      <c r="F8" s="3" t="n">
        <v>31.828915125863219</v>
      </c>
      <c r="G8" s="6" t="n">
        <v>167</v>
      </c>
      <c r="H8" s="6" t="n">
        <v>87.9</v>
      </c>
      <c r="I8" s="3" t="n">
        <v>31.517802717917462</v>
      </c>
      <c r="J8" s="3" t="n">
        <v>2.7</v>
      </c>
      <c r="K8" s="3" t="n">
        <v>2.0299999999999998</v>
      </c>
      <c r="L8" s="3" t="n">
        <v>6.5</v>
      </c>
      <c r="M8" s="3" t="n">
        <v>1.41</v>
      </c>
      <c r="N8" s="3" t="n">
        <v>89.69</v>
      </c>
      <c r="O8" s="3" t="n">
        <v>2.71</v>
      </c>
      <c r="P8" s="3" t="n">
        <v>2.17</v>
      </c>
      <c r="Q8" s="3" t="n">
        <v>6.76</v>
      </c>
      <c r="R8" s="3" t="n">
        <v>1.42</v>
      </c>
      <c r="S8" t="n">
        <v>85.06</v>
      </c>
      <c r="T8" s="1"/>
      <c r="U8" s="1"/>
      <c r="V8" s="6" t="n">
        <v>95</v>
      </c>
      <c r="W8" s="6" t="n">
        <v>16</v>
      </c>
      <c r="X8" s="5" t="n">
        <v>7</v>
      </c>
      <c r="Y8" s="3" t="n">
        <v>1.78</v>
      </c>
      <c r="Z8" s="3" t="n">
        <v>19.93</v>
      </c>
      <c r="AA8" s="5" t="n">
        <v>51.6</v>
      </c>
      <c r="AB8" s="6" t="n">
        <v>35</v>
      </c>
      <c r="AC8" s="3" t="n">
        <v>1.05</v>
      </c>
      <c r="AD8" s="6" t="n">
        <v>145</v>
      </c>
      <c r="AE8" s="3" t="n">
        <v>12.275862068965518</v>
      </c>
      <c r="AF8" s="3" t="n">
        <v>26.3</v>
      </c>
      <c r="AG8" s="3" t="n">
        <v>1.46</v>
      </c>
      <c r="AH8" s="6" t="n">
        <v>153</v>
      </c>
      <c r="AI8" s="6" t="n">
        <v>93</v>
      </c>
      <c r="AJ8" s="6" t="n">
        <v>156</v>
      </c>
      <c r="AK8" s="6" t="n">
        <v>93</v>
      </c>
      <c r="AL8" s="1"/>
      <c r="AM8" s="6" t="n">
        <v>20</v>
      </c>
      <c r="AN8" s="3" t="n">
        <v>1.98</v>
      </c>
      <c r="AO8" s="3" t="n">
        <v>22.53</v>
      </c>
      <c r="AP8" s="5" t="n">
        <v>84.4</v>
      </c>
      <c r="AQ8" s="6" t="n">
        <v>51</v>
      </c>
      <c r="AR8" s="3" t="n">
        <v>1.23</v>
      </c>
      <c r="AS8" s="6" t="n">
        <v>147</v>
      </c>
      <c r="AT8" s="3" t="n">
        <v>29.5</v>
      </c>
      <c r="AU8" s="3" t="n">
        <v>1.56</v>
      </c>
      <c r="AV8" s="3" t="n">
        <v>13.469387755102041</v>
      </c>
      <c r="AW8" s="5" t="n">
        <v>4.5</v>
      </c>
      <c r="AX8" s="5" t="n">
        <v>10.9</v>
      </c>
      <c r="AY8" s="3" t="n">
        <v>46.954000000000001</v>
      </c>
      <c r="AZ8" s="3" t="n">
        <v>40.082999999999998</v>
      </c>
      <c r="BA8" s="3" t="n">
        <v>44.885778275475921</v>
      </c>
      <c r="BB8" s="3" t="n">
        <v>38.994999999999997</v>
      </c>
      <c r="BC8" s="3" t="n">
        <v>44.362912400455059</v>
      </c>
      <c r="BD8" s="3" t="n">
        <v>46.637999999999998</v>
      </c>
      <c r="BE8" s="6" t="n">
        <v>16795</v>
      </c>
      <c r="BF8" s="6" t="n">
        <v>16998</v>
      </c>
      <c r="BG8" s="10" t="n">
        <v>137</v>
      </c>
      <c r="BH8" s="10" t="n">
        <v>71</v>
      </c>
      <c r="BI8" s="10" t="n">
        <v>9.82</v>
      </c>
      <c r="BJ8" s="9" t="n">
        <v>26</v>
      </c>
      <c r="BK8" s="10" t="n">
        <v>139</v>
      </c>
      <c r="BL8" s="10" t="n">
        <v>84</v>
      </c>
      <c r="BM8" s="10" t="n">
        <v>11.71</v>
      </c>
      <c r="BN8" s="9"/>
      <c r="BO8" s="5" t="n">
        <v>609.80282817246712</v>
      </c>
      <c r="BP8" s="5" t="n">
        <v>599.26868166519375</v>
      </c>
      <c r="BQ8" s="3" t="n">
        <v>0</v>
      </c>
      <c r="BR8" s="3" t="n">
        <v>120</v>
      </c>
      <c r="BS8" s="12"/>
      <c r="BT8" s="12"/>
      <c r="BU8" s="12"/>
      <c r="BV8" s="12"/>
      <c r="BW8" s="12"/>
      <c r="BX8" s="12"/>
      <c r="BY8" s="5"/>
      <c r="BZ8" s="5"/>
      <c r="CA8" s="5"/>
      <c r="CB8" s="5"/>
      <c r="CK8" s="3"/>
      <c r="CL8" s="3"/>
      <c r="CM8" s="3"/>
      <c r="CN8" s="3"/>
      <c r="CO8" s="3" t="n">
        <v>0.64366281625482924</v>
      </c>
      <c r="CP8" s="3" t="n">
        <v>0.47539877928767349</v>
      </c>
      <c r="CQ8" s="3" t="n">
        <v>0.75173576032383793</v>
      </c>
      <c r="CR8" s="3" t="n">
        <v>0.6428156709425239</v>
      </c>
      <c r="CS8" s="6"/>
    </row>
    <row r="9">
      <c r="A9" s="6" t="n">
        <v>13</v>
      </c>
      <c r="B9" s="6" t="n">
        <v>1</v>
      </c>
      <c r="C9" s="3" t="n">
        <v>58.48</v>
      </c>
      <c r="D9" s="5" t="n">
        <v>171.7</v>
      </c>
      <c r="E9" s="5" t="n">
        <v>90.1</v>
      </c>
      <c r="F9" s="3" t="n">
        <v>30.562170952098125</v>
      </c>
      <c r="G9" s="6" t="n">
        <v>171.5</v>
      </c>
      <c r="H9" s="6" t="n">
        <v>87.5</v>
      </c>
      <c r="I9" s="3" t="n">
        <v>29.749509133099302</v>
      </c>
      <c r="J9" s="3" t="n">
        <v>3.49</v>
      </c>
      <c r="K9" s="3" t="n">
        <v>2.6</v>
      </c>
      <c r="L9" s="3" t="n">
        <v>8.81</v>
      </c>
      <c r="M9" s="3" t="n">
        <v>1.74</v>
      </c>
      <c r="N9" s="3" t="n">
        <v>107.17</v>
      </c>
      <c r="O9" s="3" t="n">
        <v>3.27</v>
      </c>
      <c r="P9" s="3" t="n">
        <v>2.5</v>
      </c>
      <c r="Q9" s="1"/>
      <c r="R9" s="1"/>
      <c r="S9" t="n">
        <v>102.96</v>
      </c>
      <c r="T9" s="1"/>
      <c r="U9" s="1"/>
      <c r="V9" s="6" t="n">
        <v>92</v>
      </c>
      <c r="W9" s="6" t="n">
        <v>15</v>
      </c>
      <c r="X9" s="5" t="n">
        <v>8.5</v>
      </c>
      <c r="Y9" s="3" t="n">
        <v>2.5299999999999998</v>
      </c>
      <c r="Z9" s="3" t="n">
        <v>28.08</v>
      </c>
      <c r="AA9" s="5" t="n">
        <v>79.599999999999994</v>
      </c>
      <c r="AB9" s="6" t="n">
        <v>39</v>
      </c>
      <c r="AC9" s="3" t="n">
        <v>1.1299999999999999</v>
      </c>
      <c r="AD9" s="6" t="n">
        <v>183</v>
      </c>
      <c r="AE9" s="3" t="n">
        <v>13.825136612021858</v>
      </c>
      <c r="AF9" s="3" t="n">
        <v>26.1</v>
      </c>
      <c r="AG9" s="3" t="n">
        <v>2.34</v>
      </c>
      <c r="AH9" s="6" t="n">
        <v>169</v>
      </c>
      <c r="AI9" s="6" t="n">
        <v>83</v>
      </c>
      <c r="AJ9" s="6" t="n">
        <v>226</v>
      </c>
      <c r="AK9" s="6" t="n">
        <v>101</v>
      </c>
      <c r="AL9" s="1"/>
      <c r="AM9" s="6" t="n">
        <v>17</v>
      </c>
      <c r="AN9" s="3" t="n">
        <v>2.67</v>
      </c>
      <c r="AO9" s="3" t="n">
        <v>30.51</v>
      </c>
      <c r="AP9" s="5" t="n">
        <v>89.6</v>
      </c>
      <c r="AQ9" s="6" t="n">
        <v>44</v>
      </c>
      <c r="AR9" s="3" t="n">
        <v>1.19</v>
      </c>
      <c r="AS9" s="6" t="n">
        <v>189</v>
      </c>
      <c r="AT9" s="3" t="n">
        <v>24.7</v>
      </c>
      <c r="AU9" s="3" t="n">
        <v>2.46</v>
      </c>
      <c r="AV9" s="3" t="n">
        <v>14.126984126984127</v>
      </c>
      <c r="AW9" s="5" t="n">
        <v>7.8</v>
      </c>
      <c r="AX9" s="5" t="n">
        <v>7.8</v>
      </c>
      <c r="AY9" s="3" t="n">
        <v>48.234999999999999</v>
      </c>
      <c r="AZ9" s="3" t="n">
        <v>39.045999999999999</v>
      </c>
      <c r="BA9" s="3" t="n">
        <v>43.33629300776915</v>
      </c>
      <c r="BB9" s="3" t="n">
        <v>37.695999999999998</v>
      </c>
      <c r="BC9" s="3" t="n">
        <v>43.081142857142858</v>
      </c>
      <c r="BD9" s="3" t="n">
        <v>46.506999999999998</v>
      </c>
      <c r="BE9" s="6" t="n">
        <v>17508</v>
      </c>
      <c r="BF9" s="6" t="n">
        <v>17028</v>
      </c>
      <c r="BG9" s="10" t="n">
        <v>149</v>
      </c>
      <c r="BH9" s="10" t="n">
        <v>84</v>
      </c>
      <c r="BI9" s="10" t="n">
        <v>12.52</v>
      </c>
      <c r="BJ9" s="9" t="n">
        <v>35</v>
      </c>
      <c r="BK9" s="10" t="n">
        <v>155</v>
      </c>
      <c r="BL9" s="10" t="n">
        <v>74.848180000000013</v>
      </c>
      <c r="BM9" s="10" t="n">
        <v>11.601467900000001</v>
      </c>
      <c r="BN9" s="9" t="n">
        <v>60</v>
      </c>
      <c r="BO9" s="5" t="n">
        <v>743.41790189595292</v>
      </c>
      <c r="BP9" s="5" t="n">
        <v>757.33458235751164</v>
      </c>
      <c r="BQ9" s="3" t="n">
        <v>360</v>
      </c>
      <c r="BR9" s="3" t="n">
        <v>520</v>
      </c>
      <c r="BS9" s="12" t="n">
        <v>3939.174</v>
      </c>
      <c r="BT9" s="12" t="n">
        <v>4407.7510000000002</v>
      </c>
      <c r="BU9" s="12" t="n">
        <v>2880.7840000000001</v>
      </c>
      <c r="BV9" s="12" t="n">
        <v>2403.2440000000001</v>
      </c>
      <c r="BW9" s="12" t="n">
        <v>3238.4609999999998</v>
      </c>
      <c r="BX9" s="12" t="n">
        <v>3540.3029999999999</v>
      </c>
      <c r="BY9" s="5" t="n">
        <v>33.774830000000001</v>
      </c>
      <c r="BZ9" s="5" t="n">
        <v>56.725149999999999</v>
      </c>
      <c r="CA9" s="5" t="n">
        <v>66.225170000000006</v>
      </c>
      <c r="CB9" s="5" t="n">
        <v>43.274850000000001</v>
      </c>
      <c r="CC9" s="3" t="n">
        <v>3.6601307189542482</v>
      </c>
      <c r="CD9" s="3" t="n">
        <v>3.7422680412371134</v>
      </c>
      <c r="CE9" s="3" t="n">
        <v>2.58</v>
      </c>
      <c r="CF9" s="3" t="n">
        <v>2.3243243243243241</v>
      </c>
      <c r="CG9" s="3" t="n">
        <v>2.944812362030905</v>
      </c>
      <c r="CH9" s="3" t="n">
        <v>3.128654970760234</v>
      </c>
      <c r="CI9" s="3" t="n">
        <v>0.92916199990904158</v>
      </c>
      <c r="CJ9" s="3" t="n">
        <v>0.84901989389033572</v>
      </c>
      <c r="CK9" s="3" t="n">
        <v>0.89558955468579748</v>
      </c>
      <c r="CL9" s="3" t="n">
        <v>0.96716128409969904</v>
      </c>
      <c r="CM9" s="3" t="n">
        <v>0.90932474622067405</v>
      </c>
      <c r="CN9" s="3" t="n">
        <v>0.88372513335298675</v>
      </c>
      <c r="CO9" s="3" t="n">
        <v>0.84060326952727538</v>
      </c>
      <c r="CP9" s="3" t="n">
        <v>0.84796674380200465</v>
      </c>
      <c r="CQ9" s="3" t="n">
        <v>1.0630126150431756</v>
      </c>
      <c r="CR9" s="3" t="n">
        <v>0.96542759589015992</v>
      </c>
      <c r="CS9" s="6"/>
    </row>
    <row r="10">
      <c r="A10" s="6" t="n">
        <v>17</v>
      </c>
      <c r="B10" s="6" t="n">
        <v>1</v>
      </c>
      <c r="C10" s="3" t="n">
        <v>51.48</v>
      </c>
      <c r="D10" s="5" t="n">
        <v>158</v>
      </c>
      <c r="E10" s="5" t="n">
        <v>86.2</v>
      </c>
      <c r="F10" s="3" t="n">
        <v>34.529722800833198</v>
      </c>
      <c r="G10" s="6" t="n">
        <v>157.9</v>
      </c>
      <c r="H10" s="6" t="n">
        <v>89.5</v>
      </c>
      <c r="I10" s="3" t="n">
        <v>35.897051267807647</v>
      </c>
      <c r="J10" s="3" t="n">
        <v>3.82</v>
      </c>
      <c r="K10" s="3" t="n">
        <v>2.78</v>
      </c>
      <c r="L10" s="3" t="n">
        <v>7.98</v>
      </c>
      <c r="M10" s="3" t="n">
        <v>1.52</v>
      </c>
      <c r="N10" s="3" t="n">
        <v>112.52</v>
      </c>
      <c r="O10" s="3" t="n">
        <v>3.61</v>
      </c>
      <c r="P10" s="3" t="n">
        <v>2.83</v>
      </c>
      <c r="Q10" s="3" t="n">
        <v>8</v>
      </c>
      <c r="R10" s="3" t="n">
        <v>1.52</v>
      </c>
      <c r="S10" t="n">
        <v>119.71</v>
      </c>
      <c r="T10" s="1"/>
      <c r="U10" s="1"/>
      <c r="V10" s="6" t="n">
        <v>94</v>
      </c>
      <c r="W10" s="6" t="n">
        <v>17</v>
      </c>
      <c r="X10" s="5" t="n">
        <v>8</v>
      </c>
      <c r="Y10" s="3" t="n">
        <v>2.13</v>
      </c>
      <c r="Z10" s="3" t="n">
        <v>24.71</v>
      </c>
      <c r="AA10" s="5" t="n">
        <v>97.8</v>
      </c>
      <c r="AB10" s="6" t="n">
        <v>50</v>
      </c>
      <c r="AC10" s="3" t="n">
        <v>1.32</v>
      </c>
      <c r="AD10" s="6" t="n">
        <v>186</v>
      </c>
      <c r="AE10" s="3" t="n">
        <v>11.451612903225806</v>
      </c>
      <c r="AF10" s="3" t="n">
        <v>25.75</v>
      </c>
      <c r="AG10" s="3" t="n">
        <v>2</v>
      </c>
      <c r="AH10" s="6" t="n">
        <v>150</v>
      </c>
      <c r="AI10" s="6" t="n">
        <v>86</v>
      </c>
      <c r="AJ10" s="6" t="n">
        <v>153</v>
      </c>
      <c r="AK10" s="6" t="n">
        <v>87</v>
      </c>
      <c r="AL10" s="1"/>
      <c r="AM10" s="1"/>
      <c r="AN10" s="3" t="n">
        <v>2.29</v>
      </c>
      <c r="AO10" s="3" t="n">
        <v>25.59</v>
      </c>
      <c r="AP10" s="5" t="n">
        <v>99.9</v>
      </c>
      <c r="AQ10" s="6" t="n">
        <v>48</v>
      </c>
      <c r="AR10" s="3" t="n">
        <v>1.33</v>
      </c>
      <c r="AS10" s="6" t="n">
        <v>182</v>
      </c>
      <c r="AT10" s="3" t="n">
        <v>23.5</v>
      </c>
      <c r="AU10" s="3" t="n">
        <v>2.14</v>
      </c>
      <c r="AV10" s="3" t="n">
        <v>12.582417582417582</v>
      </c>
      <c r="AW10" s="5" t="n">
        <v>13.8</v>
      </c>
      <c r="AX10" s="5" t="n">
        <v>11.1</v>
      </c>
      <c r="AY10" s="3" t="n">
        <v>42.441000000000003</v>
      </c>
      <c r="AZ10" s="3" t="n">
        <v>41.337000000000003</v>
      </c>
      <c r="BA10" s="3" t="n">
        <v>47.954756380510446</v>
      </c>
      <c r="BB10" s="3" t="n">
        <v>42.957999999999998</v>
      </c>
      <c r="BC10" s="3" t="n">
        <v>47.997765363128494</v>
      </c>
      <c r="BD10" s="3" t="n">
        <v>44.082000000000001</v>
      </c>
      <c r="BE10" s="6" t="n">
        <v>15682</v>
      </c>
      <c r="BF10" s="6" t="n">
        <v>16260</v>
      </c>
      <c r="BG10" s="10" t="n">
        <v>160</v>
      </c>
      <c r="BH10" s="10" t="n">
        <v>83</v>
      </c>
      <c r="BI10" s="10" t="n">
        <v>13.3</v>
      </c>
      <c r="BJ10" s="9" t="n">
        <v>38</v>
      </c>
      <c r="BK10" s="10" t="n">
        <v>159</v>
      </c>
      <c r="BL10" s="10" t="n">
        <v>70</v>
      </c>
      <c r="BM10" s="10" t="n">
        <v>11.08</v>
      </c>
      <c r="BN10" s="9"/>
      <c r="BO10" s="5" t="n">
        <v>609.22155578558056</v>
      </c>
      <c r="BP10" s="5" t="n">
        <v>636.67840858470777</v>
      </c>
      <c r="BQ10" s="3" t="n">
        <v>0</v>
      </c>
      <c r="BR10" s="3" t="n">
        <v>195</v>
      </c>
      <c r="BS10" s="12"/>
      <c r="BT10" s="12"/>
      <c r="BU10" s="12"/>
      <c r="BV10" s="12"/>
      <c r="BW10" s="12"/>
      <c r="BX10" s="12"/>
      <c r="BY10" s="5"/>
      <c r="BZ10" s="5"/>
      <c r="CA10" s="5"/>
      <c r="CB10" s="5"/>
      <c r="CK10" s="3"/>
      <c r="CL10" s="3"/>
      <c r="CM10" s="3"/>
      <c r="CN10" s="3"/>
      <c r="CO10" s="3" t="n">
        <v>0.79776549004652975</v>
      </c>
      <c r="CP10" s="3" t="n">
        <v>0.55532575358257241</v>
      </c>
      <c r="CQ10" s="3" t="n">
        <v>1.0605183895683747</v>
      </c>
      <c r="CR10" s="3" t="n">
        <v>0.64510631138948149</v>
      </c>
      <c r="CS10" s="6"/>
    </row>
    <row r="11">
      <c r="A11" s="6" t="n">
        <v>19</v>
      </c>
      <c r="B11" s="6" t="n">
        <v>2</v>
      </c>
      <c r="C11" s="3" t="n">
        <v>59.01</v>
      </c>
      <c r="D11" s="5" t="n">
        <v>174</v>
      </c>
      <c r="E11" s="5" t="n">
        <v>104</v>
      </c>
      <c r="F11" s="3" t="n">
        <v>34.350640771568237</v>
      </c>
      <c r="G11" s="6" t="n">
        <v>174</v>
      </c>
      <c r="H11" s="6" t="n">
        <v>103.8</v>
      </c>
      <c r="I11" s="3" t="n">
        <v>34.28458184700753</v>
      </c>
      <c r="J11" s="3" t="n">
        <v>3.32</v>
      </c>
      <c r="K11" s="3" t="n">
        <v>2.66</v>
      </c>
      <c r="L11" s="3" t="n">
        <v>8.25</v>
      </c>
      <c r="M11" s="3" t="n">
        <v>1.62</v>
      </c>
      <c r="N11" s="3" t="n">
        <v>133.82</v>
      </c>
      <c r="O11" s="3" t="n">
        <v>3.34</v>
      </c>
      <c r="P11" s="3" t="n">
        <v>2.67</v>
      </c>
      <c r="Q11" s="3" t="n">
        <v>7.22</v>
      </c>
      <c r="R11" s="3" t="n">
        <v>1.39</v>
      </c>
      <c r="S11" t="n">
        <v>122.37</v>
      </c>
      <c r="T11" s="1"/>
      <c r="U11" s="1"/>
      <c r="V11" s="6" t="n">
        <v>94</v>
      </c>
      <c r="W11" s="6" t="n">
        <v>18</v>
      </c>
      <c r="X11" s="5" t="n">
        <v>7</v>
      </c>
      <c r="Y11" s="3" t="n">
        <v>2.0299999999999998</v>
      </c>
      <c r="Z11" s="3" t="n">
        <v>19.52</v>
      </c>
      <c r="AA11" s="5" t="n">
        <v>64.2</v>
      </c>
      <c r="AB11" s="6" t="n">
        <v>54</v>
      </c>
      <c r="AC11" s="3" t="n">
        <v>1.33</v>
      </c>
      <c r="AD11" s="6" t="n">
        <v>194</v>
      </c>
      <c r="AE11" s="3" t="n">
        <v>10.46</v>
      </c>
      <c r="AF11" s="3" t="n">
        <v>21.19</v>
      </c>
      <c r="AG11" s="3" t="n">
        <v>2.1</v>
      </c>
      <c r="AH11" s="1"/>
      <c r="AI11" s="1"/>
      <c r="AJ11" s="1"/>
      <c r="AK11" s="1"/>
      <c r="AL11" s="1"/>
      <c r="AM11" s="6" t="n">
        <v>16</v>
      </c>
      <c r="AN11" s="3" t="n">
        <v>2.36</v>
      </c>
      <c r="AO11" s="3" t="n">
        <v>22.74</v>
      </c>
      <c r="AP11" s="5" t="n">
        <v>89.7</v>
      </c>
      <c r="AQ11" s="6" t="n">
        <v>49</v>
      </c>
      <c r="AR11" s="3" t="n">
        <v>1.29</v>
      </c>
      <c r="AS11" s="6" t="n">
        <v>194</v>
      </c>
      <c r="AT11" s="3" t="n">
        <v>25.1</v>
      </c>
      <c r="AU11" s="3" t="n">
        <v>2.0299999999999998</v>
      </c>
      <c r="AV11" s="3" t="n">
        <v>12.16</v>
      </c>
      <c r="AW11" s="5" t="n">
        <v>12.1</v>
      </c>
      <c r="AX11" s="5" t="n">
        <v>9.6</v>
      </c>
      <c r="AY11" s="3" t="n">
        <v>53.027000000000001</v>
      </c>
      <c r="AZ11" s="3" t="n">
        <v>45.430999999999997</v>
      </c>
      <c r="BA11" s="3" t="n">
        <v>43.683653846153838</v>
      </c>
      <c r="BB11" s="3" t="n">
        <v>47.414000000000001</v>
      </c>
      <c r="BC11" s="3" t="n">
        <v>45.678227360308284</v>
      </c>
      <c r="BD11" s="3" t="n">
        <v>53.023000000000003</v>
      </c>
      <c r="BE11" s="6" t="n">
        <v>19415</v>
      </c>
      <c r="BF11" s="6" t="n">
        <v>19343</v>
      </c>
      <c r="BG11" s="10" t="n">
        <v>144</v>
      </c>
      <c r="BH11" s="10" t="n">
        <v>73</v>
      </c>
      <c r="BI11" s="10" t="n">
        <v>10.47</v>
      </c>
      <c r="BJ11" s="9" t="n">
        <v>36</v>
      </c>
      <c r="BK11" s="10" t="n">
        <v>142</v>
      </c>
      <c r="BL11" s="10" t="n">
        <v>79</v>
      </c>
      <c r="BM11" s="10" t="n">
        <v>11.18</v>
      </c>
      <c r="BN11" s="9" t="n">
        <v>18</v>
      </c>
      <c r="BO11" s="5" t="n">
        <v>756.80246458822194</v>
      </c>
      <c r="BP11" s="5" t="n">
        <v>749.86000288102321</v>
      </c>
      <c r="BQ11" s="3" t="n">
        <v>0</v>
      </c>
      <c r="BR11" s="3" t="n">
        <v>0</v>
      </c>
      <c r="BS11" s="12" t="n">
        <v>7065.6679999999997</v>
      </c>
      <c r="BT11" s="12" t="n">
        <v>5322.683</v>
      </c>
      <c r="BU11" s="12" t="n">
        <v>5278.558</v>
      </c>
      <c r="BV11" s="12" t="n">
        <v>4068.8679999999999</v>
      </c>
      <c r="BW11" s="12" t="n">
        <v>5764.3739999999998</v>
      </c>
      <c r="BX11" s="12" t="n">
        <v>4746.2849999999999</v>
      </c>
      <c r="BY11" s="5" t="n">
        <v>27.184470000000001</v>
      </c>
      <c r="BZ11" s="5" t="n">
        <v>54.028440000000003</v>
      </c>
      <c r="CA11" s="5" t="n">
        <v>72.815529999999995</v>
      </c>
      <c r="CB11" s="5" t="n">
        <v>45.971559999999997</v>
      </c>
      <c r="CC11" s="3" t="n">
        <v>4.3571428571428568</v>
      </c>
      <c r="CD11" s="3" t="n">
        <v>4.6315789473684212</v>
      </c>
      <c r="CE11" s="3" t="n">
        <v>3.2066666666666666</v>
      </c>
      <c r="CF11" s="3" t="n">
        <v>3.4123711340206184</v>
      </c>
      <c r="CG11" s="3" t="n">
        <v>3.5194174757281553</v>
      </c>
      <c r="CH11" s="3" t="n">
        <v>4.0710900473933647</v>
      </c>
      <c r="CI11" s="3" t="n">
        <v>0.61666397929222139</v>
      </c>
      <c r="CJ11" s="3" t="n">
        <v>0.87015865068717047</v>
      </c>
      <c r="CK11" s="3" t="n">
        <v>0.60748916660843433</v>
      </c>
      <c r="CL11" s="3" t="n">
        <v>0.83865366392013463</v>
      </c>
      <c r="CM11" s="3" t="n">
        <v>0.61054633296874206</v>
      </c>
      <c r="CN11" s="3" t="n">
        <v>0.85774245949142724</v>
      </c>
      <c r="CO11" s="13" t="n">
        <v>0.8</v>
      </c>
      <c r="CP11" s="13" t="n">
        <v>0.77</v>
      </c>
      <c r="CQ11" s="13" t="n">
        <v>1</v>
      </c>
      <c r="CR11" s="13" t="n">
        <v>0.98</v>
      </c>
      <c r="CS11" s="6"/>
    </row>
    <row r="12">
      <c r="A12" s="6" t="n">
        <v>20</v>
      </c>
      <c r="B12" s="6" t="n">
        <v>1</v>
      </c>
      <c r="C12" s="3" t="n">
        <v>62.08</v>
      </c>
      <c r="D12" s="5" t="n">
        <v>171.5</v>
      </c>
      <c r="E12" s="5" t="n">
        <v>80.7</v>
      </c>
      <c r="F12" s="3" t="n">
        <v>27.437547280469872</v>
      </c>
      <c r="G12" s="6" t="n">
        <v>172.5</v>
      </c>
      <c r="H12" s="6" t="n">
        <v>86.2</v>
      </c>
      <c r="I12" s="3" t="n">
        <v>28.968704053770214</v>
      </c>
      <c r="J12" s="3" t="n">
        <v>4.7699999999999996</v>
      </c>
      <c r="K12" s="3" t="n">
        <v>3.22</v>
      </c>
      <c r="L12" s="3" t="n">
        <v>4.92</v>
      </c>
      <c r="M12" s="3" t="n">
        <v>0.93</v>
      </c>
      <c r="N12" s="3" t="n">
        <v>114.36</v>
      </c>
      <c r="O12" s="3" t="n">
        <v>4.51</v>
      </c>
      <c r="P12" s="3" t="n">
        <v>3.2</v>
      </c>
      <c r="Q12" s="3" t="n">
        <v>4.8</v>
      </c>
      <c r="R12" s="3" t="n">
        <v>0.82</v>
      </c>
      <c r="S12" t="n">
        <v>119.52</v>
      </c>
      <c r="T12" s="6" t="n">
        <v>212</v>
      </c>
      <c r="U12" s="6" t="n">
        <v>81</v>
      </c>
      <c r="V12" s="6" t="n">
        <v>86</v>
      </c>
      <c r="W12" s="6" t="n">
        <v>17</v>
      </c>
      <c r="X12" s="5" t="n">
        <v>6</v>
      </c>
      <c r="Y12" s="3" t="n">
        <v>1.85</v>
      </c>
      <c r="Z12" s="3" t="n">
        <v>22.92</v>
      </c>
      <c r="AA12" s="5" t="n">
        <v>81.400000000000006</v>
      </c>
      <c r="AB12" s="6" t="n">
        <v>37</v>
      </c>
      <c r="AC12" s="3" t="n">
        <v>1.19</v>
      </c>
      <c r="AD12" s="6" t="n">
        <v>173</v>
      </c>
      <c r="AE12" s="3" t="n">
        <v>10.693641618497109</v>
      </c>
      <c r="AF12" s="3" t="n">
        <v>32.909999999999997</v>
      </c>
      <c r="AG12" s="3" t="n">
        <v>1.71</v>
      </c>
      <c r="AH12" s="6" t="n">
        <v>131</v>
      </c>
      <c r="AI12" s="6" t="n">
        <v>80</v>
      </c>
      <c r="AJ12" s="6" t="n">
        <v>197</v>
      </c>
      <c r="AK12" s="6" t="n">
        <v>80</v>
      </c>
      <c r="AL12" s="1"/>
      <c r="AM12" s="1"/>
      <c r="AN12" s="3" t="n">
        <v>2.16</v>
      </c>
      <c r="AO12" s="3" t="n">
        <v>25.06</v>
      </c>
      <c r="AP12" s="5" t="n">
        <v>100.9</v>
      </c>
      <c r="AQ12" s="6" t="n">
        <v>43</v>
      </c>
      <c r="AR12" s="3" t="n">
        <v>1.21</v>
      </c>
      <c r="AS12" s="6" t="n">
        <v>169</v>
      </c>
      <c r="AT12" s="3" t="n">
        <v>35.799999999999997</v>
      </c>
      <c r="AU12" s="3" t="n">
        <v>1.69</v>
      </c>
      <c r="AV12" s="3" t="n">
        <v>12.781065088757396</v>
      </c>
      <c r="AW12" s="5" t="n">
        <v>10</v>
      </c>
      <c r="AX12" s="5" t="n">
        <v>11.6</v>
      </c>
      <c r="AY12" s="3" t="n">
        <v>49.091999999999999</v>
      </c>
      <c r="AZ12" s="3" t="n">
        <v>29.863</v>
      </c>
      <c r="BA12" s="3" t="n">
        <v>37.004956629491943</v>
      </c>
      <c r="BB12" s="3" t="n">
        <v>35.247999999999998</v>
      </c>
      <c r="BC12" s="3" t="n">
        <v>40.890951276102086</v>
      </c>
      <c r="BD12" s="3" t="n">
        <v>49.456000000000003</v>
      </c>
      <c r="BE12" s="6" t="n">
        <v>16304</v>
      </c>
      <c r="BF12" s="6" t="n">
        <v>16605</v>
      </c>
      <c r="BG12" s="10" t="n">
        <v>142</v>
      </c>
      <c r="BH12" s="10" t="n">
        <v>92</v>
      </c>
      <c r="BI12" s="10" t="n">
        <v>12.99</v>
      </c>
      <c r="BJ12" s="9" t="n">
        <v>34</v>
      </c>
      <c r="BK12" s="10" t="n">
        <v>148</v>
      </c>
      <c r="BL12" s="10" t="n">
        <v>77</v>
      </c>
      <c r="BM12" s="10" t="n">
        <v>11.37</v>
      </c>
      <c r="BN12" s="9" t="n">
        <v>15</v>
      </c>
      <c r="BO12" s="5" t="n">
        <v>703.53708066244587</v>
      </c>
      <c r="BP12" s="5" t="n">
        <v>711.97749050714174</v>
      </c>
      <c r="BQ12" s="3" t="n">
        <v>120</v>
      </c>
      <c r="BR12" s="3" t="n">
        <v>152</v>
      </c>
      <c r="BS12" s="12" t="n">
        <v>5188.4889999999996</v>
      </c>
      <c r="BT12" s="12" t="n">
        <v>6390.58</v>
      </c>
      <c r="BU12" s="12" t="n">
        <v>2205.087</v>
      </c>
      <c r="BV12" s="12" t="n">
        <v>2707.3620000000001</v>
      </c>
      <c r="BW12" s="12" t="n">
        <v>3556.7510000000002</v>
      </c>
      <c r="BX12" s="12" t="n">
        <v>4684.4570000000003</v>
      </c>
      <c r="BY12" s="5" t="n">
        <v>45.30612</v>
      </c>
      <c r="BZ12" s="5" t="n">
        <v>53.678469999999997</v>
      </c>
      <c r="CA12" s="5" t="n">
        <v>54.69388</v>
      </c>
      <c r="CB12" s="5" t="n">
        <v>46.321530000000003</v>
      </c>
      <c r="CC12" s="3" t="n">
        <v>3.3738738738738738</v>
      </c>
      <c r="CD12" s="3" t="n">
        <v>3.7157360406091371</v>
      </c>
      <c r="CE12" s="3" t="n">
        <v>2.0111940298507465</v>
      </c>
      <c r="CF12" s="3" t="n">
        <v>2.2470588235294118</v>
      </c>
      <c r="CG12" s="3" t="n">
        <v>2.6285714285714286</v>
      </c>
      <c r="CH12" s="3" t="n">
        <v>3.0354223433242509</v>
      </c>
      <c r="CI12" s="3" t="n">
        <v>0.65026133994570712</v>
      </c>
      <c r="CJ12" s="3" t="n">
        <v>0.5814395576212128</v>
      </c>
      <c r="CK12" s="3" t="n">
        <v>0.91207017578260785</v>
      </c>
      <c r="CL12" s="3" t="n">
        <v>0.82998101214198572</v>
      </c>
      <c r="CM12" s="3" t="n">
        <v>0.73903728317950768</v>
      </c>
      <c r="CN12" s="3" t="n">
        <v>0.64797739927423459</v>
      </c>
      <c r="CO12" s="3" t="n">
        <v>0.59144900891296026</v>
      </c>
      <c r="CP12" s="3" t="n">
        <v>0.69758779245519698</v>
      </c>
      <c r="CQ12" s="3" t="n">
        <v>0.78271898344231583</v>
      </c>
      <c r="CR12" s="3" t="n">
        <v>0.85636436771699254</v>
      </c>
      <c r="CS12" s="6"/>
    </row>
    <row r="13">
      <c r="A13" s="6" t="n">
        <v>24</v>
      </c>
      <c r="B13" s="6" t="n">
        <v>1</v>
      </c>
      <c r="C13" s="3" t="n">
        <v>51.86</v>
      </c>
      <c r="D13" s="5" t="n">
        <v>164.3</v>
      </c>
      <c r="E13" s="5" t="n">
        <v>56.5</v>
      </c>
      <c r="F13" s="3" t="n">
        <v>20.930197236547162</v>
      </c>
      <c r="G13" s="6" t="n">
        <v>164</v>
      </c>
      <c r="H13" s="6" t="n">
        <v>61.4</v>
      </c>
      <c r="I13" s="3" t="n">
        <v>22.828673408685308</v>
      </c>
      <c r="J13" s="3" t="n">
        <v>4.38</v>
      </c>
      <c r="K13" s="3" t="n">
        <v>3.36</v>
      </c>
      <c r="L13" s="3" t="n">
        <v>10.119999999999999</v>
      </c>
      <c r="M13" s="3" t="n">
        <v>1.67</v>
      </c>
      <c r="N13" s="3" t="n">
        <v>150.08000000000001</v>
      </c>
      <c r="O13" s="3" t="n">
        <v>4.2300000000000004</v>
      </c>
      <c r="P13" s="3" t="n">
        <v>3.3</v>
      </c>
      <c r="Q13" s="3" t="n">
        <v>9.16</v>
      </c>
      <c r="R13" s="3" t="n">
        <v>1.57</v>
      </c>
      <c r="S13" t="n">
        <v>159.4</v>
      </c>
      <c r="T13" s="1"/>
      <c r="U13" s="1"/>
      <c r="V13" s="6" t="n">
        <v>91</v>
      </c>
      <c r="W13" s="6" t="n">
        <v>17</v>
      </c>
      <c r="X13" s="5" t="n">
        <v>11.5</v>
      </c>
      <c r="Y13" s="3" t="n">
        <v>2.2400000000000002</v>
      </c>
      <c r="Z13" s="3" t="n">
        <v>39.700000000000003</v>
      </c>
      <c r="AA13" s="5" t="n">
        <v>72.5</v>
      </c>
      <c r="AB13" s="6" t="n">
        <v>42</v>
      </c>
      <c r="AC13" s="3" t="n">
        <v>1.26</v>
      </c>
      <c r="AD13" s="6" t="n">
        <v>177</v>
      </c>
      <c r="AE13" s="3" t="n">
        <v>12.655367231638419</v>
      </c>
      <c r="AF13" s="3" t="n">
        <v>28.15</v>
      </c>
      <c r="AG13" s="3" t="n">
        <v>1.1599999999999999</v>
      </c>
      <c r="AH13" s="6" t="n">
        <v>155</v>
      </c>
      <c r="AI13" s="6" t="n">
        <v>95</v>
      </c>
      <c r="AJ13" s="6" t="n">
        <v>210</v>
      </c>
      <c r="AK13" s="6" t="n">
        <v>100</v>
      </c>
      <c r="AL13" s="1"/>
      <c r="AM13" s="6" t="n">
        <v>19</v>
      </c>
      <c r="AN13" s="3" t="n">
        <v>2.52</v>
      </c>
      <c r="AO13" s="3" t="n">
        <v>41.04</v>
      </c>
      <c r="AP13" s="5" t="n">
        <v>110</v>
      </c>
      <c r="AQ13" s="6" t="n">
        <v>44</v>
      </c>
      <c r="AR13" s="3" t="n">
        <v>1.34</v>
      </c>
      <c r="AS13" s="6" t="n">
        <v>179</v>
      </c>
      <c r="AT13" s="3" t="n">
        <v>27.3</v>
      </c>
      <c r="AU13" s="3" t="n">
        <v>2.0099999999999998</v>
      </c>
      <c r="AV13" s="3" t="n">
        <v>14.078212290502794</v>
      </c>
      <c r="AW13" s="5" t="n">
        <v>10.8</v>
      </c>
      <c r="AX13" s="5" t="n">
        <v>10.6</v>
      </c>
      <c r="AY13" s="3" t="n">
        <v>41.22</v>
      </c>
      <c r="AZ13" s="3" t="n">
        <v>13.612</v>
      </c>
      <c r="BA13" s="3" t="n">
        <v>24.092035398230088</v>
      </c>
      <c r="BB13" s="3" t="n">
        <v>17.643000000000001</v>
      </c>
      <c r="BC13" s="3" t="n">
        <v>28.734527687296417</v>
      </c>
      <c r="BD13" s="3" t="n">
        <v>42.072000000000003</v>
      </c>
      <c r="BE13" s="6" t="n">
        <v>13529</v>
      </c>
      <c r="BF13" s="6" t="n">
        <v>14254</v>
      </c>
      <c r="BG13" s="10" t="n">
        <v>159</v>
      </c>
      <c r="BH13" s="10" t="n">
        <v>85.161510000000007</v>
      </c>
      <c r="BI13" s="10" t="n">
        <v>13.540680090000002</v>
      </c>
      <c r="BJ13" s="9" t="n">
        <v>31</v>
      </c>
      <c r="BK13" s="10" t="n">
        <v>161</v>
      </c>
      <c r="BL13" s="10" t="n">
        <v>88.277175</v>
      </c>
      <c r="BM13" s="10" t="n">
        <v>14.212625174999999</v>
      </c>
      <c r="BN13" s="9" t="n">
        <v>25</v>
      </c>
      <c r="BQ13" s="3" t="n">
        <v>100</v>
      </c>
      <c r="BR13" s="3" t="n">
        <v>78</v>
      </c>
      <c r="BS13" s="12"/>
      <c r="BT13" s="12"/>
      <c r="BU13" s="12"/>
      <c r="BV13" s="12"/>
      <c r="BW13" s="12"/>
      <c r="BX13" s="12"/>
      <c r="CA13" s="5"/>
      <c r="CB13" s="5"/>
      <c r="CK13" s="3"/>
      <c r="CL13" s="3"/>
      <c r="CM13" s="3"/>
      <c r="CN13" s="3"/>
      <c r="CO13" s="3" t="n">
        <v>1.11627664111841</v>
      </c>
      <c r="CP13" s="3" t="n">
        <v>1.6591750653625157</v>
      </c>
      <c r="CQ13" s="3" t="n">
        <v>1.4430656898345011</v>
      </c>
      <c r="CR13" s="3" t="n">
        <v>1.5142654358052887</v>
      </c>
      <c r="CS13" s="6"/>
    </row>
    <row r="14">
      <c r="A14" s="6" t="n">
        <v>25</v>
      </c>
      <c r="B14" s="6" t="n">
        <v>1</v>
      </c>
      <c r="C14" s="3" t="n">
        <v>59.49</v>
      </c>
      <c r="D14" s="5" t="n">
        <v>165.6</v>
      </c>
      <c r="E14" s="5" t="n">
        <v>70.8</v>
      </c>
      <c r="F14" s="3" t="n">
        <v>25.817405307008332</v>
      </c>
      <c r="G14" s="6" t="n">
        <v>166</v>
      </c>
      <c r="H14" s="6" t="n">
        <v>70.5</v>
      </c>
      <c r="I14" s="3" t="n">
        <v>25.584264769923067</v>
      </c>
      <c r="J14" s="3" t="n">
        <v>3.74</v>
      </c>
      <c r="K14" s="3" t="n">
        <v>2.75</v>
      </c>
      <c r="L14" s="3" t="n">
        <v>8.25</v>
      </c>
      <c r="M14" s="3" t="n">
        <v>1.5</v>
      </c>
      <c r="N14" s="3" t="n">
        <v>110.82</v>
      </c>
      <c r="O14" s="3" t="n">
        <v>3.6</v>
      </c>
      <c r="P14" s="3" t="n">
        <v>2.72</v>
      </c>
      <c r="Q14" s="3" t="n">
        <v>6.78</v>
      </c>
      <c r="R14" s="3" t="n">
        <v>1.29</v>
      </c>
      <c r="S14" t="n">
        <v>110.88</v>
      </c>
      <c r="T14" s="6" t="n">
        <v>211</v>
      </c>
      <c r="U14" s="6" t="n">
        <v>67</v>
      </c>
      <c r="V14" s="6" t="n">
        <v>96</v>
      </c>
      <c r="W14" s="6" t="n">
        <v>19</v>
      </c>
      <c r="X14" s="5" t="n">
        <v>10</v>
      </c>
      <c r="Y14" s="3" t="n">
        <v>2.35</v>
      </c>
      <c r="Z14" s="3" t="n">
        <v>33.19</v>
      </c>
      <c r="AA14" s="5" t="n">
        <v>103.1</v>
      </c>
      <c r="AB14" s="6" t="n">
        <v>53</v>
      </c>
      <c r="AC14" s="3" t="n">
        <v>1.2</v>
      </c>
      <c r="AD14" s="6" t="n">
        <v>175</v>
      </c>
      <c r="AE14" s="3" t="n">
        <v>13.428571428571429</v>
      </c>
      <c r="AF14" s="3" t="n">
        <v>30.36</v>
      </c>
      <c r="AG14" s="3" t="n">
        <v>1.65</v>
      </c>
      <c r="AH14" s="6" t="n">
        <v>122</v>
      </c>
      <c r="AI14" s="6" t="n">
        <v>79</v>
      </c>
      <c r="AJ14" s="6" t="n">
        <v>219</v>
      </c>
      <c r="AK14" s="6" t="n">
        <v>91</v>
      </c>
      <c r="AL14" s="1"/>
      <c r="AM14" s="6" t="n">
        <v>16</v>
      </c>
      <c r="AN14" s="3" t="n">
        <v>2.44</v>
      </c>
      <c r="AO14" s="3" t="n">
        <v>34.61</v>
      </c>
      <c r="AP14" s="5" t="n">
        <v>102.4</v>
      </c>
      <c r="AQ14" s="6" t="n">
        <v>52</v>
      </c>
      <c r="AR14" s="3" t="n">
        <v>1.1599999999999999</v>
      </c>
      <c r="AS14" s="6" t="n">
        <v>179</v>
      </c>
      <c r="AT14" s="3" t="n">
        <v>31.9</v>
      </c>
      <c r="AU14" s="3" t="n">
        <v>1.68</v>
      </c>
      <c r="AV14" s="3" t="n">
        <v>13.631284916201118</v>
      </c>
      <c r="AW14" s="5" t="n">
        <v>8.3000000000000007</v>
      </c>
      <c r="AX14" s="5" t="n">
        <v>7.8</v>
      </c>
      <c r="AY14" s="3" t="n">
        <v>41.926000000000002</v>
      </c>
      <c r="AZ14" s="3" t="n">
        <v>26.181999999999999</v>
      </c>
      <c r="BA14" s="3" t="n">
        <v>36.980225988700568</v>
      </c>
      <c r="BB14" s="3" t="n">
        <v>26.388000000000002</v>
      </c>
      <c r="BC14" s="3" t="n">
        <v>37.429787234042557</v>
      </c>
      <c r="BD14" s="3" t="n">
        <v>40.853000000000002</v>
      </c>
      <c r="BE14" s="6" t="n">
        <v>13380</v>
      </c>
      <c r="BF14" s="6" t="n">
        <v>13115</v>
      </c>
      <c r="BG14" s="10" t="n">
        <v>133</v>
      </c>
      <c r="BH14" s="10" t="n">
        <v>101</v>
      </c>
      <c r="BI14" s="10" t="n">
        <v>13.41</v>
      </c>
      <c r="BJ14" s="9" t="n">
        <v>63</v>
      </c>
      <c r="BK14" s="10" t="n">
        <v>147</v>
      </c>
      <c r="BL14" s="10" t="n">
        <v>82</v>
      </c>
      <c r="BM14" s="10" t="n">
        <v>12.06</v>
      </c>
      <c r="BN14" s="9"/>
      <c r="BQ14" s="3" t="n">
        <v>50</v>
      </c>
      <c r="BR14" s="3" t="n">
        <v>90</v>
      </c>
      <c r="BS14" s="12" t="n">
        <v>4505.6329999999998</v>
      </c>
      <c r="BT14" s="12" t="n">
        <v>5115.8609999999999</v>
      </c>
      <c r="BU14" s="12" t="n">
        <v>4205.3379999999997</v>
      </c>
      <c r="BV14" s="12" t="n">
        <v>4291.4970000000003</v>
      </c>
      <c r="BW14" s="12" t="n">
        <v>4320.8360000000002</v>
      </c>
      <c r="BX14" s="12" t="n">
        <v>4554.652</v>
      </c>
      <c r="BY14" s="5" t="n">
        <v>41.007190000000001</v>
      </c>
      <c r="BZ14" s="5" t="n">
        <v>35.023040000000002</v>
      </c>
      <c r="CA14" s="5" t="n">
        <v>58.992809999999999</v>
      </c>
      <c r="CB14" s="5" t="n">
        <v>64.976960000000005</v>
      </c>
      <c r="CC14" s="3" t="n">
        <v>3.6428571428571428</v>
      </c>
      <c r="CD14" s="2" t="n">
        <v>3.9210526315789473</v>
      </c>
      <c r="CE14" s="3" t="n">
        <v>2.7678571428571428</v>
      </c>
      <c r="CF14" s="2" t="n">
        <v>2.9268292682926829</v>
      </c>
      <c r="CG14" s="3" t="n">
        <v>3.1043956043956045</v>
      </c>
      <c r="CH14" s="2" t="n">
        <v>3.3345323741007196</v>
      </c>
      <c r="CI14" s="3" t="n">
        <v>0.80851180940884559</v>
      </c>
      <c r="CJ14" s="3" t="n">
        <v>0.76645018924066721</v>
      </c>
      <c r="CK14" s="3" t="n">
        <v>0.65817714400461547</v>
      </c>
      <c r="CL14" s="3" t="n">
        <v>0.68200664427922986</v>
      </c>
      <c r="CM14" s="3" t="n">
        <v>0.71847110366444478</v>
      </c>
      <c r="CN14" s="3" t="n">
        <v>0.73211580868485548</v>
      </c>
      <c r="CO14" s="3" t="n">
        <v>0.90691636986095148</v>
      </c>
      <c r="CP14" s="3" t="n">
        <v>0.69758779245519698</v>
      </c>
      <c r="CQ14" s="3" t="n">
        <v>0.95016643144737556</v>
      </c>
      <c r="CR14" s="3" t="n">
        <v>0.85636436771699254</v>
      </c>
      <c r="CS14" s="6"/>
    </row>
    <row r="15">
      <c r="A15" s="6" t="n">
        <v>26</v>
      </c>
      <c r="B15" s="6" t="n">
        <v>1</v>
      </c>
      <c r="C15" s="3" t="n">
        <v>63.16</v>
      </c>
      <c r="D15" s="5" t="n">
        <v>160.30000000000001</v>
      </c>
      <c r="E15" s="5" t="n">
        <v>64</v>
      </c>
      <c r="F15" s="3" t="n">
        <v>24.90651301423679</v>
      </c>
      <c r="G15" s="6" t="n">
        <v>160.69999999999999</v>
      </c>
      <c r="H15" s="6" t="n">
        <v>64</v>
      </c>
      <c r="I15" s="3" t="n">
        <v>24.782677218407798</v>
      </c>
      <c r="J15" s="3" t="n">
        <v>3.54</v>
      </c>
      <c r="K15" s="3" t="n">
        <v>2.66</v>
      </c>
      <c r="L15" s="3" t="n">
        <v>7.28</v>
      </c>
      <c r="M15" s="3" t="n">
        <v>1.5</v>
      </c>
      <c r="N15" s="3" t="n">
        <v>115.12</v>
      </c>
      <c r="O15" s="3" t="n">
        <v>3.39</v>
      </c>
      <c r="P15" s="3" t="n">
        <v>2.58</v>
      </c>
      <c r="Q15" s="3" t="n">
        <v>6.75</v>
      </c>
      <c r="R15" s="3" t="n">
        <v>1.41</v>
      </c>
      <c r="S15" t="n">
        <v>114.89</v>
      </c>
      <c r="T15" s="1"/>
      <c r="U15" s="1"/>
      <c r="V15" s="6" t="n">
        <v>93</v>
      </c>
      <c r="W15" s="6" t="n">
        <v>16</v>
      </c>
      <c r="X15" s="5" t="n">
        <v>7</v>
      </c>
      <c r="Y15" s="3" t="n">
        <v>1.6</v>
      </c>
      <c r="Z15" s="3" t="n">
        <v>25</v>
      </c>
      <c r="AA15" s="5" t="n">
        <v>74</v>
      </c>
      <c r="AB15" s="6" t="n">
        <v>39</v>
      </c>
      <c r="AC15" s="3" t="n">
        <v>1.29</v>
      </c>
      <c r="AD15" s="6" t="n">
        <v>173</v>
      </c>
      <c r="AE15" s="3" t="n">
        <v>9.2485549132947984</v>
      </c>
      <c r="AF15" s="3" t="n">
        <v>28.2</v>
      </c>
      <c r="AG15" s="3" t="n">
        <v>1.37</v>
      </c>
      <c r="AH15" s="6" t="n">
        <v>130</v>
      </c>
      <c r="AI15" s="6" t="n">
        <v>74</v>
      </c>
      <c r="AJ15" s="6" t="n">
        <v>188</v>
      </c>
      <c r="AK15" s="6" t="n">
        <v>69</v>
      </c>
      <c r="AL15" s="1"/>
      <c r="AM15" s="6" t="n">
        <v>19</v>
      </c>
      <c r="AN15" s="3" t="n">
        <v>1.98</v>
      </c>
      <c r="AO15" s="3" t="n">
        <v>30.94</v>
      </c>
      <c r="AP15" s="5" t="n">
        <v>91.1</v>
      </c>
      <c r="AQ15" s="6" t="n">
        <v>44</v>
      </c>
      <c r="AR15" s="3" t="n">
        <v>1.25</v>
      </c>
      <c r="AS15" s="6" t="n">
        <v>181</v>
      </c>
      <c r="AT15" s="3" t="n">
        <v>31.9</v>
      </c>
      <c r="AU15" s="3" t="n">
        <v>1.65</v>
      </c>
      <c r="AV15" s="3" t="n">
        <v>10.939226519337016</v>
      </c>
      <c r="AW15" s="5" t="n">
        <v>9.4</v>
      </c>
      <c r="AX15" s="1"/>
      <c r="AY15" s="3" t="n">
        <v>36.862000000000002</v>
      </c>
      <c r="AZ15" s="3" t="n">
        <v>26.103999999999999</v>
      </c>
      <c r="BA15" s="3" t="n">
        <v>40.787500000000001</v>
      </c>
      <c r="BB15" s="3" t="n">
        <v>25.381</v>
      </c>
      <c r="BC15" s="3" t="n">
        <v>39.657812499999999</v>
      </c>
      <c r="BD15" s="3" t="n">
        <v>37.081000000000003</v>
      </c>
      <c r="BE15" s="6" t="n">
        <v>12094</v>
      </c>
      <c r="BF15" s="6" t="n">
        <v>12621</v>
      </c>
      <c r="BG15" s="10" t="n">
        <v>157</v>
      </c>
      <c r="BH15" s="10" t="n">
        <v>58</v>
      </c>
      <c r="BI15" s="10" t="n">
        <v>9.06</v>
      </c>
      <c r="BJ15" s="9" t="n">
        <v>37</v>
      </c>
      <c r="BK15" s="10" t="n">
        <v>156</v>
      </c>
      <c r="BL15" s="10" t="n">
        <v>67</v>
      </c>
      <c r="BM15" s="10" t="n">
        <v>10.48</v>
      </c>
      <c r="BN15" s="9" t="n">
        <v>30</v>
      </c>
      <c r="BQ15" s="3" t="n">
        <v>40</v>
      </c>
      <c r="BR15" s="3" t="n">
        <v>160</v>
      </c>
      <c r="BS15" s="12" t="n">
        <v>2771.9870000000001</v>
      </c>
      <c r="BT15" s="12" t="n">
        <v>2142.3249999999998</v>
      </c>
      <c r="BU15" s="12" t="n">
        <v>2684.2719999999999</v>
      </c>
      <c r="BV15" s="12" t="n">
        <v>2158.7269999999999</v>
      </c>
      <c r="BW15" s="12" t="n">
        <v>2708.5059999999999</v>
      </c>
      <c r="BX15" s="12" t="n">
        <v>2152.6619999999998</v>
      </c>
      <c r="BY15" s="5" t="n">
        <v>27.628869999999999</v>
      </c>
      <c r="BZ15" s="5" t="n">
        <v>36.974789999999999</v>
      </c>
      <c r="CA15" s="5" t="n">
        <v>72.371129999999994</v>
      </c>
      <c r="CB15" s="5" t="n">
        <v>63.025210000000001</v>
      </c>
      <c r="CC15" s="3" t="n">
        <v>2.6940298507462686</v>
      </c>
      <c r="CD15" s="3" t="n">
        <v>2.5</v>
      </c>
      <c r="CE15" s="3" t="n">
        <v>2.3874643874643873</v>
      </c>
      <c r="CF15" s="3" t="n">
        <v>2.44</v>
      </c>
      <c r="CG15" s="3" t="n">
        <v>2.4721649484536083</v>
      </c>
      <c r="CH15" s="3" t="n">
        <v>2.46218487394958</v>
      </c>
      <c r="CI15" s="3" t="n">
        <v>0.97187677222806312</v>
      </c>
      <c r="CJ15" s="3" t="n">
        <v>1.1669564422846181</v>
      </c>
      <c r="CK15" s="3" t="n">
        <v>0.88942725772207132</v>
      </c>
      <c r="CL15" s="3" t="n">
        <v>1.1302957052138645</v>
      </c>
      <c r="CM15" s="3" t="n">
        <v>0.91274102682450475</v>
      </c>
      <c r="CN15" s="3" t="n">
        <v>1.1437858411929636</v>
      </c>
      <c r="CO15" s="3" t="n">
        <v>0.69174187520718411</v>
      </c>
      <c r="CP15" s="3" t="n">
        <v>0.83866345457253932</v>
      </c>
      <c r="CQ15" s="3" t="n">
        <v>1.1025069038807667</v>
      </c>
      <c r="CR15" s="3" t="n">
        <v>1.2413781867793723</v>
      </c>
      <c r="CS15" s="6"/>
    </row>
    <row r="16">
      <c r="A16" s="6" t="n">
        <v>27</v>
      </c>
      <c r="B16" s="6" t="n">
        <v>1</v>
      </c>
      <c r="C16" s="3" t="n">
        <v>59.77</v>
      </c>
      <c r="D16" s="5" t="n">
        <v>171</v>
      </c>
      <c r="E16" s="5" t="n">
        <v>58.1</v>
      </c>
      <c r="F16" s="3" t="n">
        <v>19.869361512944156</v>
      </c>
      <c r="G16" s="6" t="n">
        <v>170.9</v>
      </c>
      <c r="H16" s="6" t="n">
        <v>57.1</v>
      </c>
      <c r="I16" s="3" t="n">
        <v>19.550235030802746</v>
      </c>
      <c r="J16" s="3" t="n">
        <v>3.72</v>
      </c>
      <c r="K16" s="3" t="n">
        <v>2.56</v>
      </c>
      <c r="L16" s="3" t="n">
        <v>6.75</v>
      </c>
      <c r="M16" s="3" t="n">
        <v>1.34</v>
      </c>
      <c r="N16" s="3" t="n">
        <v>82.45</v>
      </c>
      <c r="O16" s="3" t="n">
        <v>3.63</v>
      </c>
      <c r="P16" s="3" t="n">
        <v>2.29</v>
      </c>
      <c r="Q16" s="3" t="n">
        <v>6.87</v>
      </c>
      <c r="R16" s="3" t="n">
        <v>1.27</v>
      </c>
      <c r="S16" t="n">
        <v>85.88</v>
      </c>
      <c r="T16" s="1"/>
      <c r="U16" s="1"/>
      <c r="V16" s="6" t="n">
        <v>96</v>
      </c>
      <c r="W16" s="6" t="n">
        <v>17</v>
      </c>
      <c r="X16" s="5" t="n">
        <v>11.5</v>
      </c>
      <c r="Y16" s="3" t="n">
        <v>2.31</v>
      </c>
      <c r="Z16" s="3" t="n">
        <v>39.76</v>
      </c>
      <c r="AA16" s="5" t="n">
        <v>56.7</v>
      </c>
      <c r="AB16" s="6" t="n">
        <v>24</v>
      </c>
      <c r="AC16" s="3" t="n">
        <v>1.06</v>
      </c>
      <c r="AD16" s="6" t="n">
        <v>176</v>
      </c>
      <c r="AE16" s="3" t="n">
        <v>13.125</v>
      </c>
      <c r="AF16" s="3" t="n">
        <v>21.1</v>
      </c>
      <c r="AG16" s="3" t="n">
        <v>1.87</v>
      </c>
      <c r="AH16" s="6" t="n">
        <v>128</v>
      </c>
      <c r="AI16" s="6" t="n">
        <v>85</v>
      </c>
      <c r="AJ16" s="6" t="n">
        <v>178</v>
      </c>
      <c r="AK16" s="6" t="n">
        <v>69</v>
      </c>
      <c r="AL16" s="1"/>
      <c r="AM16" s="6" t="n">
        <v>17</v>
      </c>
      <c r="AN16" s="3" t="n">
        <v>1.97</v>
      </c>
      <c r="AO16" s="3" t="n">
        <v>34.5</v>
      </c>
      <c r="AP16" s="5" t="n">
        <v>52.6</v>
      </c>
      <c r="AQ16" s="6" t="n">
        <v>26</v>
      </c>
      <c r="AR16" s="3" t="n">
        <v>1.08</v>
      </c>
      <c r="AS16" s="6" t="n">
        <v>175</v>
      </c>
      <c r="AT16" s="3" t="n">
        <v>20.6</v>
      </c>
      <c r="AU16" s="3" t="n">
        <v>1.64</v>
      </c>
      <c r="AV16" s="3" t="n">
        <v>11.257142857142858</v>
      </c>
      <c r="AW16" s="5" t="n">
        <v>5.4</v>
      </c>
      <c r="AX16" s="5" t="n">
        <v>4.5</v>
      </c>
      <c r="AY16" s="3" t="n">
        <v>42.322000000000003</v>
      </c>
      <c r="AZ16" s="3" t="n">
        <v>13.884</v>
      </c>
      <c r="BA16" s="3" t="n">
        <v>23.896729776247849</v>
      </c>
      <c r="BB16" s="3" t="n">
        <v>13.05</v>
      </c>
      <c r="BC16" s="3" t="n">
        <v>22.854640980735553</v>
      </c>
      <c r="BD16" s="3" t="n">
        <v>42.293999999999997</v>
      </c>
      <c r="BE16" s="6" t="n">
        <v>14360</v>
      </c>
      <c r="BF16" s="6" t="n">
        <v>13933</v>
      </c>
      <c r="BG16" s="10" t="n">
        <v>143</v>
      </c>
      <c r="BH16" s="10" t="n">
        <v>93</v>
      </c>
      <c r="BI16" s="10" t="n">
        <v>13.29</v>
      </c>
      <c r="BJ16" s="9" t="n">
        <v>40</v>
      </c>
      <c r="BK16" s="10" t="n">
        <v>130</v>
      </c>
      <c r="BL16" s="10" t="n">
        <v>97</v>
      </c>
      <c r="BM16" s="10" t="n">
        <v>12.6</v>
      </c>
      <c r="BN16" s="9" t="n">
        <v>50</v>
      </c>
      <c r="BQ16" s="3" t="n">
        <v>380</v>
      </c>
      <c r="BR16" s="3" t="n">
        <v>360</v>
      </c>
      <c r="BS16" s="12" t="n">
        <v>4434.3829999999998</v>
      </c>
      <c r="BT16" s="12" t="n">
        <v>4027.6</v>
      </c>
      <c r="BU16" s="12" t="n">
        <v>2451.29</v>
      </c>
      <c r="BV16" s="12" t="n">
        <v>2571.904</v>
      </c>
      <c r="BW16" s="12" t="n">
        <v>3565.875</v>
      </c>
      <c r="BX16" s="12" t="n">
        <v>3348.0369999999998</v>
      </c>
      <c r="BY16" s="5" t="n">
        <v>56.20438</v>
      </c>
      <c r="BZ16" s="5" t="n">
        <v>53.316949999999999</v>
      </c>
      <c r="CA16" s="5" t="n">
        <v>43.79562</v>
      </c>
      <c r="CB16" s="5" t="n">
        <v>46.683050000000001</v>
      </c>
      <c r="CC16" s="3" t="n">
        <v>5.4025974025974026</v>
      </c>
      <c r="CD16" s="3" t="n">
        <v>4.9078341013824884</v>
      </c>
      <c r="CE16" s="3" t="n">
        <v>3.6888888888888891</v>
      </c>
      <c r="CF16" s="3" t="n">
        <v>3.5894736842105264</v>
      </c>
      <c r="CG16" s="3" t="n">
        <v>4.6520681265206809</v>
      </c>
      <c r="CH16" s="3" t="n">
        <v>4.2923832923832927</v>
      </c>
      <c r="CI16" s="3" t="n">
        <v>1.2183426047936454</v>
      </c>
      <c r="CJ16" s="3" t="n">
        <v>1.2185504012297448</v>
      </c>
      <c r="CK16" s="3" t="n">
        <v>1.5048768025806425</v>
      </c>
      <c r="CL16" s="3" t="n">
        <v>1.3956486242089803</v>
      </c>
      <c r="CM16" s="3" t="n">
        <v>1.3046078143461639</v>
      </c>
      <c r="CN16" s="3" t="n">
        <v>1.2820597788750407</v>
      </c>
      <c r="CO16" s="3" t="n">
        <v>1.2702403162957585</v>
      </c>
      <c r="CP16" s="3" t="n">
        <v>1.5144293150805193</v>
      </c>
      <c r="CQ16" s="3" t="n">
        <v>1.062291884268338</v>
      </c>
      <c r="CR16" s="3" t="n">
        <v>1.0383573515425271</v>
      </c>
      <c r="CS16" s="6"/>
    </row>
    <row r="17">
      <c r="A17" s="6" t="n">
        <v>31</v>
      </c>
      <c r="B17" s="6" t="n">
        <v>2</v>
      </c>
      <c r="C17" s="3" t="n">
        <v>60.87</v>
      </c>
      <c r="D17" s="5" t="n">
        <v>162.30000000000001</v>
      </c>
      <c r="E17" s="5" t="n">
        <v>80.400000000000006</v>
      </c>
      <c r="F17" s="3" t="n">
        <v>30.52242316150803</v>
      </c>
      <c r="G17" s="6" t="n">
        <v>163</v>
      </c>
      <c r="H17" s="6" t="n">
        <v>80.2</v>
      </c>
      <c r="I17" s="3" t="n">
        <v>30.185554593699429</v>
      </c>
      <c r="J17" s="1"/>
      <c r="K17" s="1"/>
      <c r="L17" s="1"/>
      <c r="M17" s="1"/>
      <c r="N17" s="3" t="n">
        <v>94.31</v>
      </c>
      <c r="O17" s="1"/>
      <c r="P17" s="1"/>
      <c r="Q17" s="1"/>
      <c r="R17" s="1"/>
      <c r="S17" t="n">
        <v>96.44</v>
      </c>
      <c r="T17" s="1"/>
      <c r="U17" s="1"/>
      <c r="V17" s="6" t="n">
        <v>95</v>
      </c>
      <c r="W17" s="6" t="n">
        <v>18</v>
      </c>
      <c r="X17" s="5" t="n">
        <v>7</v>
      </c>
      <c r="Y17" s="3" t="n">
        <v>1.84</v>
      </c>
      <c r="Z17" s="3" t="n">
        <v>22.89</v>
      </c>
      <c r="AA17" s="5" t="n">
        <v>74.900000000000006</v>
      </c>
      <c r="AB17" s="6" t="n">
        <v>46</v>
      </c>
      <c r="AC17" s="3" t="n">
        <v>1.17</v>
      </c>
      <c r="AD17" s="6" t="n">
        <v>177</v>
      </c>
      <c r="AE17" s="3" t="n">
        <v>10.395480225988701</v>
      </c>
      <c r="AF17" s="3" t="n">
        <v>28.38</v>
      </c>
      <c r="AG17" s="3" t="n">
        <v>1.59</v>
      </c>
      <c r="AH17" s="6" t="n">
        <v>146</v>
      </c>
      <c r="AI17" s="6" t="n">
        <v>87</v>
      </c>
      <c r="AJ17" s="6" t="n">
        <v>150</v>
      </c>
      <c r="AK17" s="6" t="n">
        <v>87</v>
      </c>
      <c r="AL17" s="1"/>
      <c r="AM17" s="6" t="n">
        <v>18</v>
      </c>
      <c r="AN17" s="3" t="n">
        <v>2.08</v>
      </c>
      <c r="AO17" s="3" t="n">
        <v>25.94</v>
      </c>
      <c r="AP17" s="5" t="n">
        <v>69.8</v>
      </c>
      <c r="AQ17" s="6" t="n">
        <v>43</v>
      </c>
      <c r="AR17" s="3" t="n">
        <v>1.2</v>
      </c>
      <c r="AS17" s="6" t="n">
        <v>173</v>
      </c>
      <c r="AT17" s="3" t="n">
        <v>25.3</v>
      </c>
      <c r="AU17" s="3" t="n">
        <v>1.84</v>
      </c>
      <c r="AV17" s="3" t="n">
        <v>12.023121387283236</v>
      </c>
      <c r="AW17" s="5" t="n">
        <v>7.3</v>
      </c>
      <c r="AX17" s="5" t="n">
        <v>7</v>
      </c>
      <c r="AY17" s="3" t="n">
        <v>40.981999999999999</v>
      </c>
      <c r="AZ17" s="3" t="n">
        <v>36.552</v>
      </c>
      <c r="BA17" s="3" t="n">
        <v>45.462686567164177</v>
      </c>
      <c r="BB17" s="3" t="n">
        <v>36.426000000000002</v>
      </c>
      <c r="BC17" s="3" t="n">
        <v>45.418952618453865</v>
      </c>
      <c r="BD17" s="3" t="n">
        <v>41.207000000000001</v>
      </c>
      <c r="BE17" s="6" t="n">
        <v>15537</v>
      </c>
      <c r="BF17" s="6" t="n">
        <v>15443</v>
      </c>
      <c r="BG17" s="10" t="n">
        <v>147</v>
      </c>
      <c r="BH17" s="10" t="n">
        <v>84</v>
      </c>
      <c r="BI17" s="10" t="n">
        <v>12.35</v>
      </c>
      <c r="BJ17" s="9" t="n">
        <v>36</v>
      </c>
      <c r="BK17" s="10" t="n">
        <v>121</v>
      </c>
      <c r="BL17" s="10" t="n">
        <v>85</v>
      </c>
      <c r="BM17" s="10" t="n">
        <v>10.31</v>
      </c>
      <c r="BN17" s="9" t="n">
        <v>70</v>
      </c>
      <c r="BO17" s="5" t="n">
        <v>621.37330539166601</v>
      </c>
      <c r="BP17" s="5" t="n">
        <v>622.36119771065694</v>
      </c>
      <c r="BQ17" s="3" t="n">
        <v>0</v>
      </c>
      <c r="BR17" s="3" t="n">
        <v>0</v>
      </c>
      <c r="BS17" s="12" t="n">
        <v>5038.317</v>
      </c>
      <c r="BT17" s="12" t="n">
        <v>4546.8339999999998</v>
      </c>
      <c r="BU17" s="12" t="n">
        <v>3170.0549999999998</v>
      </c>
      <c r="BV17" s="12" t="n">
        <v>3135.7829999999999</v>
      </c>
      <c r="BW17" s="12" t="n">
        <v>3948.1089999999999</v>
      </c>
      <c r="BX17" s="12" t="n">
        <v>3596.9110000000001</v>
      </c>
      <c r="BY17" s="5" t="n">
        <v>41.645890000000001</v>
      </c>
      <c r="BZ17" s="5" t="n">
        <v>32.679740000000002</v>
      </c>
      <c r="CA17" s="5" t="n">
        <v>58.354109999999999</v>
      </c>
      <c r="CB17" s="5" t="n">
        <v>67.320260000000005</v>
      </c>
      <c r="CC17" s="3" t="n">
        <v>3.1796407185628741</v>
      </c>
      <c r="CD17" s="3" t="n">
        <v>3.4066666666666667</v>
      </c>
      <c r="CE17" s="3" t="n">
        <v>1.9358974358974359</v>
      </c>
      <c r="CF17" s="3" t="n">
        <v>2.2297734627831716</v>
      </c>
      <c r="CG17" s="3" t="n">
        <v>2.453865336658354</v>
      </c>
      <c r="CH17" s="3" t="n">
        <v>2.6143790849673203</v>
      </c>
      <c r="CI17" s="3" t="n">
        <v>0.631091826297145</v>
      </c>
      <c r="CJ17" s="3" t="n">
        <v>0.74923922161463918</v>
      </c>
      <c r="CK17" s="3" t="n">
        <v>0.6106826802134866</v>
      </c>
      <c r="CL17" s="3" t="n">
        <v>0.71107383373333533</v>
      </c>
      <c r="CM17" s="3" t="n">
        <v>0.6215292718258747</v>
      </c>
      <c r="CN17" s="3" t="n">
        <v>0.72684005744740343</v>
      </c>
      <c r="CO17" s="13" t="n">
        <v>0.8</v>
      </c>
      <c r="CP17" s="13" t="n">
        <v>0.72</v>
      </c>
      <c r="CQ17" s="13" t="n">
        <v>0.94</v>
      </c>
      <c r="CR17" s="13" t="n">
        <v>0.78</v>
      </c>
      <c r="CS17" s="6"/>
    </row>
    <row r="18">
      <c r="A18" s="6" t="n">
        <v>32</v>
      </c>
      <c r="B18" s="6" t="n">
        <v>2</v>
      </c>
      <c r="C18" s="3" t="n">
        <v>55.44</v>
      </c>
      <c r="D18" s="5" t="n">
        <v>167.8</v>
      </c>
      <c r="E18" s="5" t="n">
        <v>68.599999999999994</v>
      </c>
      <c r="F18" s="3" t="n">
        <v>24.363529430149114</v>
      </c>
      <c r="G18" s="6" t="n">
        <v>168</v>
      </c>
      <c r="H18" s="6" t="n">
        <v>68.7</v>
      </c>
      <c r="I18" s="3" t="n">
        <v>24.340986394557827</v>
      </c>
      <c r="J18" s="3" t="n">
        <v>3.31</v>
      </c>
      <c r="K18" s="3" t="n">
        <v>2.5</v>
      </c>
      <c r="L18" s="1"/>
      <c r="M18" s="1"/>
      <c r="N18" s="3" t="n">
        <v>104.04</v>
      </c>
      <c r="O18" s="3" t="n">
        <v>3.12</v>
      </c>
      <c r="P18" s="3" t="n">
        <v>2.31</v>
      </c>
      <c r="Q18" s="3" t="n">
        <v>7.67</v>
      </c>
      <c r="R18" s="3" t="n">
        <v>1.59</v>
      </c>
      <c r="S18" t="n">
        <v>110.86</v>
      </c>
      <c r="T18" s="6" t="n">
        <v>187</v>
      </c>
      <c r="U18" s="6" t="n">
        <v>86</v>
      </c>
      <c r="V18" s="6" t="n">
        <v>97</v>
      </c>
      <c r="W18" s="6" t="n">
        <v>18</v>
      </c>
      <c r="X18" s="5" t="n">
        <v>10.5</v>
      </c>
      <c r="Y18" s="3" t="n">
        <v>2.62</v>
      </c>
      <c r="Z18" s="3" t="n">
        <v>38.19</v>
      </c>
      <c r="AA18" s="5" t="n">
        <v>86.8</v>
      </c>
      <c r="AB18" s="6" t="n">
        <v>50</v>
      </c>
      <c r="AC18" s="3" t="n">
        <v>1.1399999999999999</v>
      </c>
      <c r="AD18" s="6" t="n">
        <v>176</v>
      </c>
      <c r="AE18" s="3" t="n">
        <v>14.886363636363637</v>
      </c>
      <c r="AF18" s="3" t="n">
        <v>28.16</v>
      </c>
      <c r="AG18" s="3" t="n">
        <v>2.02</v>
      </c>
      <c r="AH18" s="6" t="n">
        <v>111</v>
      </c>
      <c r="AI18" s="6" t="n">
        <v>80</v>
      </c>
      <c r="AJ18" s="6" t="n">
        <v>168</v>
      </c>
      <c r="AK18" s="6" t="n">
        <v>92</v>
      </c>
      <c r="AL18" s="6" t="n">
        <v>96</v>
      </c>
      <c r="AM18" s="6" t="n">
        <v>19</v>
      </c>
      <c r="AN18" s="3" t="n">
        <v>2.66</v>
      </c>
      <c r="AO18" s="3" t="n">
        <v>38.72</v>
      </c>
      <c r="AP18" s="5" t="n">
        <v>91.5</v>
      </c>
      <c r="AQ18" s="6" t="n">
        <v>50</v>
      </c>
      <c r="AR18" s="3" t="n">
        <v>1.18</v>
      </c>
      <c r="AS18" s="6" t="n">
        <v>175</v>
      </c>
      <c r="AT18" s="3" t="n">
        <v>28.9</v>
      </c>
      <c r="AU18" s="3" t="n">
        <v>2.2000000000000002</v>
      </c>
      <c r="AV18" s="3" t="n">
        <v>15.2</v>
      </c>
      <c r="AW18" s="5" t="n">
        <v>9.1</v>
      </c>
      <c r="AX18" s="5" t="n">
        <v>9.1</v>
      </c>
      <c r="AY18" s="3" t="n">
        <v>42.496000000000002</v>
      </c>
      <c r="AZ18" s="3" t="n">
        <v>24.241</v>
      </c>
      <c r="BA18" s="3" t="n">
        <v>35.336734693877553</v>
      </c>
      <c r="BB18" s="3" t="n">
        <v>23.841000000000001</v>
      </c>
      <c r="BC18" s="3" t="n">
        <v>34.703056768558952</v>
      </c>
      <c r="BD18" s="3" t="n">
        <v>42.563000000000002</v>
      </c>
      <c r="BE18" s="6" t="n">
        <v>15677</v>
      </c>
      <c r="BF18" s="6" t="n">
        <v>15052</v>
      </c>
      <c r="BG18" s="10" t="n">
        <v>151</v>
      </c>
      <c r="BH18" s="10" t="n">
        <v>78</v>
      </c>
      <c r="BI18" s="10" t="n">
        <v>11.74</v>
      </c>
      <c r="BJ18" s="9" t="n">
        <v>32</v>
      </c>
      <c r="BK18" s="10" t="n">
        <v>116</v>
      </c>
      <c r="BL18" s="10" t="n">
        <v>79</v>
      </c>
      <c r="BM18" s="10" t="n">
        <v>9.18</v>
      </c>
      <c r="BN18" s="9" t="n">
        <v>60</v>
      </c>
      <c r="BO18" s="5" t="n">
        <v>565.73230474015315</v>
      </c>
      <c r="BP18" s="5" t="n">
        <v>565.59991804199251</v>
      </c>
      <c r="BQ18" s="3" t="n">
        <v>180</v>
      </c>
      <c r="BR18" s="3" t="n">
        <v>60</v>
      </c>
      <c r="BS18" s="12" t="n">
        <v>3401.8359999999998</v>
      </c>
      <c r="BT18" s="12" t="n">
        <v>4915.7150000000001</v>
      </c>
      <c r="BU18" s="12" t="n">
        <v>2898.3139999999999</v>
      </c>
      <c r="BV18" s="12" t="n">
        <v>3704.375</v>
      </c>
      <c r="BW18" s="12" t="n">
        <v>3129.1970000000001</v>
      </c>
      <c r="BX18" s="12" t="n">
        <v>4383.9070000000002</v>
      </c>
      <c r="BY18" s="5" t="n">
        <v>45.853659999999998</v>
      </c>
      <c r="BZ18" s="5" t="n">
        <v>56.097560000000001</v>
      </c>
      <c r="CA18" s="5" t="n">
        <v>54.146340000000002</v>
      </c>
      <c r="CB18" s="5" t="n">
        <v>43.902439999999999</v>
      </c>
      <c r="CC18" s="3" t="n">
        <v>3.3936170212765959</v>
      </c>
      <c r="CD18" s="3" t="n">
        <v>4.5086956521739134</v>
      </c>
      <c r="CE18" s="3" t="n">
        <v>2.7927927927927927</v>
      </c>
      <c r="CF18" s="3" t="n">
        <v>3.8166666666666669</v>
      </c>
      <c r="CG18" s="3" t="n">
        <v>3.0682926829268293</v>
      </c>
      <c r="CH18" s="3" t="n">
        <v>4.204878048780488</v>
      </c>
      <c r="CI18" s="3" t="n">
        <v>0.99758395485967033</v>
      </c>
      <c r="CJ18" s="3" t="n">
        <v>0.91720035285591062</v>
      </c>
      <c r="CK18" s="3" t="n">
        <v>0.96359218612776421</v>
      </c>
      <c r="CL18" s="3" t="n">
        <v>1.0303132711742979</v>
      </c>
      <c r="CM18" s="3" t="n">
        <v>0.98053666367898262</v>
      </c>
      <c r="CN18" s="3" t="n">
        <v>0.95916218451680146</v>
      </c>
      <c r="CS18" s="6"/>
    </row>
    <row r="19">
      <c r="A19" s="6" t="n">
        <v>33</v>
      </c>
      <c r="B19" s="6" t="n">
        <v>1</v>
      </c>
      <c r="C19" s="3" t="n">
        <v>66.930000000000007</v>
      </c>
      <c r="D19" s="5" t="n">
        <v>170.8</v>
      </c>
      <c r="E19" s="5" t="n">
        <v>74.8</v>
      </c>
      <c r="F19" s="3" t="n">
        <v>25.640463118867533</v>
      </c>
      <c r="G19" s="6" t="n">
        <v>171.8</v>
      </c>
      <c r="H19" s="6" t="n">
        <v>76.400000000000006</v>
      </c>
      <c r="I19" s="3" t="n">
        <v>25.884932665294265</v>
      </c>
      <c r="J19" s="3" t="n">
        <v>3.74</v>
      </c>
      <c r="K19" s="3" t="n">
        <v>2.79</v>
      </c>
      <c r="L19" s="1"/>
      <c r="M19" s="1"/>
      <c r="N19" s="3" t="n">
        <v>118.92</v>
      </c>
      <c r="O19" s="3" t="n">
        <v>3.49</v>
      </c>
      <c r="P19" s="3" t="n">
        <v>2.62</v>
      </c>
      <c r="Q19" s="3" t="n">
        <v>8.8000000000000007</v>
      </c>
      <c r="R19" s="3" t="n">
        <v>1.62</v>
      </c>
      <c r="S19" t="n">
        <v>108.55</v>
      </c>
      <c r="T19" s="1"/>
      <c r="U19" s="1"/>
      <c r="V19" s="6" t="n">
        <v>91</v>
      </c>
      <c r="W19" s="6" t="n">
        <v>17</v>
      </c>
      <c r="X19" s="5" t="n">
        <v>10</v>
      </c>
      <c r="Y19" s="3" t="n">
        <v>2.04</v>
      </c>
      <c r="Z19" s="3" t="n">
        <v>27.27</v>
      </c>
      <c r="AA19" s="5" t="n">
        <v>85.8</v>
      </c>
      <c r="AB19" s="6" t="n">
        <v>50</v>
      </c>
      <c r="AC19" s="3" t="n">
        <v>1.24</v>
      </c>
      <c r="AD19" s="6" t="n">
        <v>178</v>
      </c>
      <c r="AE19" s="3" t="n">
        <v>11.460674157303371</v>
      </c>
      <c r="AF19" s="3" t="n">
        <v>28.35</v>
      </c>
      <c r="AG19" s="3" t="n">
        <v>1.47</v>
      </c>
      <c r="AH19" s="6" t="n">
        <v>143</v>
      </c>
      <c r="AI19" s="6" t="n">
        <v>95</v>
      </c>
      <c r="AJ19" s="6" t="n">
        <v>206</v>
      </c>
      <c r="AK19" s="6" t="n">
        <v>87</v>
      </c>
      <c r="AL19" s="1"/>
      <c r="AM19" s="6" t="n">
        <v>17</v>
      </c>
      <c r="AN19" s="3" t="n">
        <v>2.29</v>
      </c>
      <c r="AO19" s="3" t="n">
        <v>29.97</v>
      </c>
      <c r="AP19" s="5" t="n">
        <v>93.6</v>
      </c>
      <c r="AQ19" s="6" t="n">
        <v>53</v>
      </c>
      <c r="AR19" s="3" t="n">
        <v>1.3</v>
      </c>
      <c r="AS19" s="6" t="n">
        <v>174</v>
      </c>
      <c r="AT19" s="3" t="n">
        <v>24.3</v>
      </c>
      <c r="AU19" s="3" t="n">
        <v>1.67</v>
      </c>
      <c r="AV19" s="3" t="n">
        <v>13.160919540229886</v>
      </c>
      <c r="AW19" s="5" t="n">
        <v>8.1999999999999993</v>
      </c>
      <c r="AX19" s="5" t="n">
        <v>9.6</v>
      </c>
      <c r="AY19" s="3" t="n">
        <v>39.258000000000003</v>
      </c>
      <c r="AZ19" s="3" t="n">
        <v>33.026000000000003</v>
      </c>
      <c r="BA19" s="3" t="n">
        <v>44.152406417112303</v>
      </c>
      <c r="BB19" s="3" t="n">
        <v>33.392000000000003</v>
      </c>
      <c r="BC19" s="3" t="n">
        <v>43.706806282722518</v>
      </c>
      <c r="BD19" s="3" t="n">
        <v>40.491</v>
      </c>
      <c r="BE19" s="6" t="n">
        <v>13662</v>
      </c>
      <c r="BF19" s="6" t="n">
        <v>14160</v>
      </c>
      <c r="BG19" s="10" t="n">
        <v>166</v>
      </c>
      <c r="BH19" s="10" t="n">
        <v>70</v>
      </c>
      <c r="BI19" s="10" t="n">
        <v>11.62</v>
      </c>
      <c r="BJ19" s="9" t="n">
        <v>30</v>
      </c>
      <c r="BK19" s="10" t="n">
        <v>151</v>
      </c>
      <c r="BL19" s="10" t="n">
        <v>102.816945</v>
      </c>
      <c r="BM19" s="10" t="n">
        <v>15.525358695000001</v>
      </c>
      <c r="BN19" s="9" t="n">
        <v>30</v>
      </c>
      <c r="BO19" s="5" t="n">
        <v>560.82620182395442</v>
      </c>
      <c r="BP19" s="5" t="n">
        <v>576.59749942592737</v>
      </c>
      <c r="BQ19" s="3" t="n">
        <v>60</v>
      </c>
      <c r="BR19" s="3" t="n">
        <v>170</v>
      </c>
      <c r="BS19" s="12" t="n">
        <v>2193.8069999999998</v>
      </c>
      <c r="BT19" s="12" t="n">
        <v>2708.3870000000002</v>
      </c>
      <c r="BU19" s="12" t="n">
        <v>2093.2449999999999</v>
      </c>
      <c r="BV19" s="12" t="n">
        <v>2702.5390000000002</v>
      </c>
      <c r="BW19" s="12" t="n">
        <v>2145.6579999999999</v>
      </c>
      <c r="BX19" s="12" t="n">
        <v>2704.7629999999999</v>
      </c>
      <c r="BY19" s="5" t="n">
        <v>52.119700000000002</v>
      </c>
      <c r="BZ19" s="5" t="n">
        <v>38.030299999999997</v>
      </c>
      <c r="CA19" s="5" t="n">
        <v>47.880299999999998</v>
      </c>
      <c r="CB19" s="5" t="n">
        <v>61.969700000000003</v>
      </c>
      <c r="CC19" s="3" t="n">
        <v>2.9665071770334928</v>
      </c>
      <c r="CD19" s="3" t="n">
        <v>3.0119521912350598</v>
      </c>
      <c r="CE19" s="3" t="n">
        <v>2.6770833333333335</v>
      </c>
      <c r="CF19" s="3" t="n">
        <v>2.5232273838630808</v>
      </c>
      <c r="CG19" s="3" t="n">
        <v>2.827930174563591</v>
      </c>
      <c r="CH19" s="3" t="n">
        <v>2.709090909090909</v>
      </c>
      <c r="CI19" s="3" t="n">
        <v>1.3522186221703574</v>
      </c>
      <c r="CJ19" s="3" t="n">
        <v>1.112083226143318</v>
      </c>
      <c r="CK19" s="3" t="n">
        <v>1.2789156069592269</v>
      </c>
      <c r="CL19" s="3" t="n">
        <v>0.93365055908415817</v>
      </c>
      <c r="CM19" s="3" t="n">
        <v>1.3179782666662285</v>
      </c>
      <c r="CN19" s="3" t="n">
        <v>1.0015999640732594</v>
      </c>
      <c r="CO19" s="3" t="n">
        <v>0.92142423362619608</v>
      </c>
      <c r="CP19" s="3" t="n">
        <v>1.083166139983706</v>
      </c>
      <c r="CQ19" s="3" t="n">
        <v>1.0130435517482497</v>
      </c>
      <c r="CR19" s="3" t="n">
        <v>1.0773147976963582</v>
      </c>
      <c r="CS19" s="6"/>
    </row>
    <row r="20">
      <c r="A20" s="6" t="n">
        <v>34</v>
      </c>
      <c r="B20" s="6" t="n">
        <v>2</v>
      </c>
      <c r="C20" s="3" t="n">
        <v>60.61</v>
      </c>
      <c r="D20" s="5" t="n">
        <v>176</v>
      </c>
      <c r="E20" s="5" t="n">
        <v>65.599999999999994</v>
      </c>
      <c r="F20" s="3" t="n">
        <v>21.17768595041322</v>
      </c>
      <c r="G20" s="6" t="n">
        <v>177</v>
      </c>
      <c r="H20" s="6" t="n">
        <v>65.5</v>
      </c>
      <c r="I20" s="3" t="n">
        <v>20.907146733058827</v>
      </c>
      <c r="J20" s="3" t="n">
        <v>4.08</v>
      </c>
      <c r="K20" s="3" t="n">
        <v>3.12</v>
      </c>
      <c r="L20" s="3" t="n">
        <v>8.6199999999999992</v>
      </c>
      <c r="M20" s="3" t="n">
        <v>1.45</v>
      </c>
      <c r="N20" s="3" t="n">
        <v>113.42</v>
      </c>
      <c r="O20" s="3" t="n">
        <v>4.09</v>
      </c>
      <c r="P20" s="3" t="n">
        <v>3.14</v>
      </c>
      <c r="Q20" s="3" t="n">
        <v>8.14</v>
      </c>
      <c r="R20" s="3" t="n">
        <v>1.39</v>
      </c>
      <c r="S20" t="n">
        <v>126.33</v>
      </c>
      <c r="T20" s="6" t="n">
        <v>133</v>
      </c>
      <c r="U20" s="6" t="n">
        <v>44</v>
      </c>
      <c r="V20" s="6" t="n">
        <v>96</v>
      </c>
      <c r="W20" s="6" t="n">
        <v>19</v>
      </c>
      <c r="X20" s="5" t="n">
        <v>12</v>
      </c>
      <c r="Y20" s="3" t="n">
        <v>2.36</v>
      </c>
      <c r="Z20" s="3" t="n">
        <v>35.979999999999997</v>
      </c>
      <c r="AA20" s="5" t="n">
        <v>93</v>
      </c>
      <c r="AB20" s="6" t="n">
        <v>41</v>
      </c>
      <c r="AC20" s="3" t="n">
        <v>1.3</v>
      </c>
      <c r="AD20" s="6" t="n">
        <v>170</v>
      </c>
      <c r="AE20" s="3" t="n">
        <v>13.882352941176471</v>
      </c>
      <c r="AF20" s="3" t="n">
        <v>22.19</v>
      </c>
      <c r="AG20" s="3" t="n">
        <v>1.43</v>
      </c>
      <c r="AH20" s="6" t="n">
        <v>111</v>
      </c>
      <c r="AI20" s="6" t="n">
        <v>68</v>
      </c>
      <c r="AJ20" s="6" t="n">
        <v>165</v>
      </c>
      <c r="AK20" s="6" t="n">
        <v>55</v>
      </c>
      <c r="AL20" s="1"/>
      <c r="AM20" s="6" t="n">
        <v>19</v>
      </c>
      <c r="AN20" s="3" t="n">
        <v>2.11</v>
      </c>
      <c r="AO20" s="3" t="n">
        <v>32.21</v>
      </c>
      <c r="AP20" s="5" t="n">
        <v>84.2</v>
      </c>
      <c r="AQ20" s="6" t="n">
        <v>45</v>
      </c>
      <c r="AR20" s="3" t="n">
        <v>1.24</v>
      </c>
      <c r="AS20" s="6" t="n">
        <v>171</v>
      </c>
      <c r="AT20" s="3" t="n">
        <v>28.7</v>
      </c>
      <c r="AU20" s="3" t="n">
        <v>1.91</v>
      </c>
      <c r="AV20" s="3" t="n">
        <v>12.339181286549708</v>
      </c>
      <c r="AW20" s="5" t="n">
        <v>11.8</v>
      </c>
      <c r="AX20" s="5" t="n">
        <v>14.2</v>
      </c>
      <c r="AY20" s="3" t="n">
        <v>43.3</v>
      </c>
      <c r="AZ20" s="3" t="n">
        <v>20.088000000000001</v>
      </c>
      <c r="BA20" s="3" t="n">
        <v>30.621951219512201</v>
      </c>
      <c r="BB20" s="3" t="n">
        <v>20.234000000000002</v>
      </c>
      <c r="BC20" s="3" t="n">
        <v>30.891603053435119</v>
      </c>
      <c r="BD20" s="3" t="n">
        <v>43.192999999999998</v>
      </c>
      <c r="BE20" s="6" t="n">
        <v>15890</v>
      </c>
      <c r="BF20" s="6" t="n">
        <v>15189</v>
      </c>
      <c r="BG20" s="10" t="n">
        <v>152</v>
      </c>
      <c r="BH20" s="10" t="n">
        <v>86</v>
      </c>
      <c r="BI20" s="10" t="n">
        <v>13.12</v>
      </c>
      <c r="BJ20" s="9" t="n">
        <v>28</v>
      </c>
      <c r="BK20" s="10" t="n">
        <v>137</v>
      </c>
      <c r="BL20" s="10" t="n">
        <v>87</v>
      </c>
      <c r="BM20" s="10" t="n">
        <v>11.98</v>
      </c>
      <c r="BN20" s="9" t="n">
        <v>23</v>
      </c>
      <c r="BO20" s="5" t="n">
        <v>564.32398929877024</v>
      </c>
      <c r="BP20" s="5" t="n">
        <v>581.88988535449369</v>
      </c>
      <c r="BQ20" s="3" t="n">
        <v>0</v>
      </c>
      <c r="BR20" s="3" t="n">
        <v>180</v>
      </c>
      <c r="BS20" s="12" t="n">
        <v>3737.942</v>
      </c>
      <c r="BT20" s="12" t="n">
        <v>3836.1930000000002</v>
      </c>
      <c r="BU20" s="12" t="n">
        <v>3133.5390000000002</v>
      </c>
      <c r="BV20" s="12" t="n">
        <v>2846.3629999999998</v>
      </c>
      <c r="BW20" s="12" t="n">
        <v>3242.8960000000002</v>
      </c>
      <c r="BX20" s="12" t="n">
        <v>3195.1410000000001</v>
      </c>
      <c r="BY20" s="5" t="n">
        <v>18.093389999999999</v>
      </c>
      <c r="BZ20" s="5" t="n">
        <v>35.236220000000003</v>
      </c>
      <c r="CA20" s="5" t="n">
        <v>81.906610000000001</v>
      </c>
      <c r="CB20" s="5" t="n">
        <v>64.763779999999997</v>
      </c>
      <c r="CC20" s="3" t="n">
        <v>2.903225806451613</v>
      </c>
      <c r="CD20" s="3" t="n">
        <v>3.9162011173184359</v>
      </c>
      <c r="CE20" s="3" t="n">
        <v>2.2945368171021379</v>
      </c>
      <c r="CF20" s="3" t="n">
        <v>3.0091185410334345</v>
      </c>
      <c r="CG20" s="3" t="n">
        <v>2.404669260700389</v>
      </c>
      <c r="CH20" s="3" t="n">
        <v>3.3287401574803148</v>
      </c>
      <c r="CI20" s="3" t="n">
        <v>0.77669095667910393</v>
      </c>
      <c r="CJ20" s="3" t="n">
        <v>1.0208562088496456</v>
      </c>
      <c r="CK20" s="3" t="n">
        <v>0.73225096099714049</v>
      </c>
      <c r="CL20" s="3" t="n">
        <v>1.0571802303708919</v>
      </c>
      <c r="CM20" s="3" t="n">
        <v>0.74151911850554142</v>
      </c>
      <c r="CN20" s="3" t="n">
        <v>1.0418130721566066</v>
      </c>
      <c r="CO20" s="13" t="n">
        <v>1.1399999999999999</v>
      </c>
      <c r="CP20" s="13" t="n">
        <v>1.1299999999999999</v>
      </c>
      <c r="CQ20" s="13" t="n">
        <v>0.92</v>
      </c>
      <c r="CR20" s="13" t="n">
        <v>1.07</v>
      </c>
      <c r="CS20" s="6"/>
    </row>
    <row r="21">
      <c r="A21" s="6" t="n">
        <v>36</v>
      </c>
      <c r="B21" s="6" t="n">
        <v>1</v>
      </c>
      <c r="C21" s="3" t="n">
        <v>62.91</v>
      </c>
      <c r="D21" s="5" t="n">
        <v>166</v>
      </c>
      <c r="E21" s="5" t="n">
        <v>83.1</v>
      </c>
      <c r="F21" s="3" t="n">
        <v>30.156771664973146</v>
      </c>
      <c r="G21" s="6" t="n">
        <v>167</v>
      </c>
      <c r="H21" s="6" t="n">
        <v>82</v>
      </c>
      <c r="I21" s="3" t="n">
        <v>29.402273297715947</v>
      </c>
      <c r="J21" s="3" t="n">
        <v>4.25</v>
      </c>
      <c r="K21" s="3" t="n">
        <v>3.06</v>
      </c>
      <c r="L21" s="3" t="n">
        <v>7.83</v>
      </c>
      <c r="M21" s="3" t="n">
        <v>1.32</v>
      </c>
      <c r="N21" s="3" t="n">
        <v>123.34</v>
      </c>
      <c r="O21" s="3" t="n">
        <v>4.2</v>
      </c>
      <c r="P21" s="3" t="n">
        <v>3.24</v>
      </c>
      <c r="Q21" s="1"/>
      <c r="R21" s="1"/>
      <c r="S21" t="n">
        <v>135.74</v>
      </c>
      <c r="T21" s="6" t="n">
        <v>216</v>
      </c>
      <c r="U21" s="6" t="n">
        <v>86</v>
      </c>
      <c r="V21" s="6" t="n">
        <v>94</v>
      </c>
      <c r="W21" s="6" t="n">
        <v>18</v>
      </c>
      <c r="X21" s="5" t="n">
        <v>7.5</v>
      </c>
      <c r="Y21" s="3" t="n">
        <v>2.54</v>
      </c>
      <c r="Z21" s="3" t="n">
        <v>30.57</v>
      </c>
      <c r="AA21" s="5" t="n">
        <v>101.9</v>
      </c>
      <c r="AB21" s="6" t="n">
        <v>46</v>
      </c>
      <c r="AC21" s="3" t="n">
        <v>1.1200000000000001</v>
      </c>
      <c r="AD21" s="6" t="n">
        <v>181</v>
      </c>
      <c r="AE21" s="3" t="n">
        <v>14.033149171270718</v>
      </c>
      <c r="AF21" s="3" t="n">
        <v>32.340000000000003</v>
      </c>
      <c r="AG21" s="3" t="n">
        <v>2.0699999999999998</v>
      </c>
      <c r="AH21" s="6" t="n">
        <v>138</v>
      </c>
      <c r="AI21" s="6" t="n">
        <v>105</v>
      </c>
      <c r="AJ21" s="6" t="n">
        <v>204</v>
      </c>
      <c r="AK21" s="6" t="n">
        <v>83</v>
      </c>
      <c r="AL21" s="1"/>
      <c r="AM21" s="6" t="n">
        <v>17</v>
      </c>
      <c r="AN21" s="3" t="n">
        <v>2.35</v>
      </c>
      <c r="AO21" s="3" t="n">
        <v>28.66</v>
      </c>
      <c r="AP21" s="5" t="n">
        <v>94.5</v>
      </c>
      <c r="AQ21" s="6" t="n">
        <v>41</v>
      </c>
      <c r="AR21" s="3" t="n">
        <v>1.1200000000000001</v>
      </c>
      <c r="AS21" s="6" t="n">
        <v>174</v>
      </c>
      <c r="AT21" s="3" t="n">
        <v>32.4</v>
      </c>
      <c r="AU21" s="3" t="n">
        <v>1.8</v>
      </c>
      <c r="AV21" s="3" t="n">
        <v>13.505747126436782</v>
      </c>
      <c r="AW21" s="5" t="n">
        <v>9.8000000000000007</v>
      </c>
      <c r="AX21" s="5" t="n">
        <v>9</v>
      </c>
      <c r="AY21" s="3" t="n">
        <v>45.337000000000003</v>
      </c>
      <c r="AZ21" s="3" t="n">
        <v>35.518000000000001</v>
      </c>
      <c r="BA21" s="3" t="n">
        <v>42.741275571600482</v>
      </c>
      <c r="BB21" s="3" t="n">
        <v>34.896999999999998</v>
      </c>
      <c r="BC21" s="3" t="n">
        <v>42.557317073170729</v>
      </c>
      <c r="BD21" s="3" t="n">
        <v>44.398000000000003</v>
      </c>
      <c r="BE21" s="6" t="n">
        <v>15734</v>
      </c>
      <c r="BF21" s="6" t="n">
        <v>15442</v>
      </c>
      <c r="BG21" s="10" t="n">
        <v>170</v>
      </c>
      <c r="BH21" s="10" t="n">
        <v>79</v>
      </c>
      <c r="BI21" s="10" t="n">
        <v>13.46</v>
      </c>
      <c r="BJ21" s="9" t="n">
        <v>34</v>
      </c>
      <c r="BK21" s="10" t="n">
        <v>160</v>
      </c>
      <c r="BL21" s="10" t="n">
        <v>88</v>
      </c>
      <c r="BM21" s="10" t="n">
        <v>14.03</v>
      </c>
      <c r="BN21" s="9" t="n">
        <v>25</v>
      </c>
      <c r="BO21" s="5" t="n">
        <v>694.71500696079386</v>
      </c>
      <c r="BP21" s="5" t="n">
        <v>708.64672656280936</v>
      </c>
      <c r="BQ21" s="3" t="n">
        <v>180</v>
      </c>
      <c r="BR21" s="3" t="n">
        <v>280</v>
      </c>
      <c r="BS21" s="12"/>
      <c r="BT21" s="12"/>
      <c r="BU21" s="12"/>
      <c r="BV21" s="12"/>
      <c r="BW21" s="12"/>
      <c r="BX21" s="12"/>
      <c r="CA21" s="5"/>
      <c r="CB21" s="5"/>
      <c r="CK21" s="3"/>
      <c r="CL21" s="3"/>
      <c r="CM21" s="3"/>
      <c r="CN21" s="3"/>
      <c r="CO21" s="3" t="n">
        <v>1.3031759574774029</v>
      </c>
      <c r="CP21" s="3" t="n">
        <v>1.3432283247306249</v>
      </c>
      <c r="CQ21" s="3" t="n">
        <v>1.4548005744956074</v>
      </c>
      <c r="CR21" s="3" t="n">
        <v>1.2776469193714592</v>
      </c>
      <c r="CS21" s="6"/>
    </row>
    <row r="22">
      <c r="A22" s="6" t="n">
        <v>38</v>
      </c>
      <c r="B22" s="6" t="n">
        <v>2</v>
      </c>
      <c r="C22" s="3" t="n">
        <v>59.37</v>
      </c>
      <c r="D22" s="5" t="n">
        <v>168</v>
      </c>
      <c r="E22" s="5" t="n">
        <v>70</v>
      </c>
      <c r="F22" s="3" t="n">
        <v>24.801587301587304</v>
      </c>
      <c r="G22" s="6" t="n">
        <v>168.7</v>
      </c>
      <c r="H22" s="6" t="n">
        <v>70.400000000000006</v>
      </c>
      <c r="I22" s="3" t="n">
        <v>24.736741686223574</v>
      </c>
      <c r="J22" s="3" t="n">
        <v>3.5</v>
      </c>
      <c r="K22" s="3" t="n">
        <v>2.4500000000000002</v>
      </c>
      <c r="L22" s="3" t="n">
        <v>8.8800000000000008</v>
      </c>
      <c r="M22" s="3" t="n">
        <v>1.88</v>
      </c>
      <c r="N22" s="3" t="n">
        <v>93.33</v>
      </c>
      <c r="O22" s="3" t="n">
        <v>3.41</v>
      </c>
      <c r="P22" s="3" t="n">
        <v>2.46</v>
      </c>
      <c r="Q22" s="3" t="n">
        <v>8.5500000000000007</v>
      </c>
      <c r="R22" s="3" t="n">
        <v>1.79</v>
      </c>
      <c r="S22" t="n">
        <v>96.01</v>
      </c>
      <c r="T22" s="6" t="n">
        <v>216</v>
      </c>
      <c r="U22" s="6" t="n">
        <v>48</v>
      </c>
      <c r="V22" s="6" t="n">
        <v>96</v>
      </c>
      <c r="W22" s="6" t="n">
        <v>18</v>
      </c>
      <c r="X22" s="5" t="n">
        <v>9</v>
      </c>
      <c r="Y22" s="3" t="n">
        <v>2.27</v>
      </c>
      <c r="Z22" s="3" t="n">
        <v>32.43</v>
      </c>
      <c r="AA22" s="5" t="n">
        <v>80.099999999999994</v>
      </c>
      <c r="AB22" s="6" t="n">
        <v>42</v>
      </c>
      <c r="AC22" s="3" t="n">
        <v>1.23</v>
      </c>
      <c r="AD22" s="6" t="n">
        <v>174</v>
      </c>
      <c r="AE22" s="3" t="n">
        <v>13.045977011494253</v>
      </c>
      <c r="AF22" s="3" t="n">
        <v>25.05</v>
      </c>
      <c r="AG22" s="3" t="n">
        <v>1.55</v>
      </c>
      <c r="AH22" s="6" t="n">
        <v>140</v>
      </c>
      <c r="AI22" s="6" t="n">
        <v>93</v>
      </c>
      <c r="AJ22" s="6" t="n">
        <v>213</v>
      </c>
      <c r="AK22" s="6" t="n">
        <v>56</v>
      </c>
      <c r="AL22" s="1"/>
      <c r="AM22" s="6" t="n">
        <v>18</v>
      </c>
      <c r="AN22" s="3" t="n">
        <v>2.4</v>
      </c>
      <c r="AO22" s="3" t="n">
        <v>34.090000000000003</v>
      </c>
      <c r="AP22" s="5" t="n">
        <v>83.8</v>
      </c>
      <c r="AQ22" s="6" t="n">
        <v>43</v>
      </c>
      <c r="AR22" s="3" t="n">
        <v>1.23</v>
      </c>
      <c r="AS22" s="6" t="n">
        <v>171</v>
      </c>
      <c r="AT22" s="3" t="n">
        <v>25.5</v>
      </c>
      <c r="AU22" s="3" t="n">
        <v>2.0099999999999998</v>
      </c>
      <c r="AV22" s="3" t="n">
        <v>14.035087719298245</v>
      </c>
      <c r="AW22" s="5" t="n">
        <v>10.3</v>
      </c>
      <c r="AX22" s="5" t="n">
        <v>7</v>
      </c>
      <c r="AY22" s="3" t="n">
        <v>41.643999999999998</v>
      </c>
      <c r="AZ22" s="3" t="n">
        <v>26.233000000000001</v>
      </c>
      <c r="BA22" s="3" t="n">
        <v>37.475714285714282</v>
      </c>
      <c r="BB22" s="3" t="n">
        <v>26.158000000000001</v>
      </c>
      <c r="BC22" s="3" t="n">
        <v>37.156249999999993</v>
      </c>
      <c r="BD22" s="3" t="n">
        <v>42.034999999999997</v>
      </c>
      <c r="BE22" s="6" t="n">
        <v>14242</v>
      </c>
      <c r="BF22" s="6" t="n">
        <v>13864</v>
      </c>
      <c r="BG22" s="10" t="n">
        <v>148</v>
      </c>
      <c r="BH22" s="10" t="n">
        <v>83</v>
      </c>
      <c r="BI22" s="10" t="n">
        <v>12.26</v>
      </c>
      <c r="BJ22" s="9" t="n">
        <v>27</v>
      </c>
      <c r="BK22" s="10" t="n">
        <v>146</v>
      </c>
      <c r="BL22" s="10" t="n">
        <v>85</v>
      </c>
      <c r="BM22" s="10" t="n">
        <v>12.43</v>
      </c>
      <c r="BN22" s="9" t="n">
        <v>20</v>
      </c>
      <c r="BO22" s="5" t="n">
        <v>577.50361709912477</v>
      </c>
      <c r="BP22" s="5" t="n">
        <v>664.32362735562958</v>
      </c>
      <c r="BQ22" s="3" t="n">
        <v>420</v>
      </c>
      <c r="BR22" s="3" t="n">
        <v>130</v>
      </c>
      <c r="BS22" s="12" t="n">
        <v>4695.0770000000002</v>
      </c>
      <c r="BT22" s="12" t="n">
        <v>4664.3869999999997</v>
      </c>
      <c r="BU22" s="12" t="n">
        <v>2351.6770000000001</v>
      </c>
      <c r="BV22" s="12" t="n">
        <v>2615.2489999999998</v>
      </c>
      <c r="BW22" s="12" t="n">
        <v>3355.991</v>
      </c>
      <c r="BX22" s="12" t="n">
        <v>3647.0160000000001</v>
      </c>
      <c r="BY22" s="5" t="n">
        <v>42.857140000000001</v>
      </c>
      <c r="BZ22" s="5" t="n">
        <v>50.351289999999999</v>
      </c>
      <c r="CA22" s="5" t="n">
        <v>57.142859999999999</v>
      </c>
      <c r="CB22" s="5" t="n">
        <v>49.648710000000001</v>
      </c>
      <c r="CC22" s="3" t="n">
        <v>4.2280701754385968</v>
      </c>
      <c r="CD22" s="3" t="n">
        <v>3.6372093023255814</v>
      </c>
      <c r="CE22" s="3" t="n">
        <v>2.4254385964912282</v>
      </c>
      <c r="CF22" s="3" t="n">
        <v>2.6320754716981134</v>
      </c>
      <c r="CG22" s="3" t="n">
        <v>3.1979949874686717</v>
      </c>
      <c r="CH22" s="3" t="n">
        <v>3.1381733021077283</v>
      </c>
      <c r="CI22" s="3" t="n">
        <v>0.90053258842473327</v>
      </c>
      <c r="CJ22" s="3" t="n">
        <v>0.77978289009556412</v>
      </c>
      <c r="CK22" s="3" t="n">
        <v>1.0313656304479604</v>
      </c>
      <c r="CL22" s="3" t="n">
        <v>1.0064340027169167</v>
      </c>
      <c r="CM22" s="3" t="n">
        <v>0.95292111597870421</v>
      </c>
      <c r="CN22" s="3" t="n">
        <v>0.86047687404892714</v>
      </c>
      <c r="CO22" s="13" t="n">
        <v>1.21</v>
      </c>
      <c r="CP22" s="13" t="n">
        <v>1.18</v>
      </c>
      <c r="CQ22" s="13" t="n">
        <v>1.18</v>
      </c>
      <c r="CR22" s="13" t="n">
        <v>1.31</v>
      </c>
      <c r="CS22" s="6"/>
    </row>
    <row r="23">
      <c r="A23" s="6" t="n">
        <v>39</v>
      </c>
      <c r="B23" s="6" t="n">
        <v>1</v>
      </c>
      <c r="C23" s="3" t="n">
        <v>55.47</v>
      </c>
      <c r="D23" s="5" t="n">
        <v>165.5</v>
      </c>
      <c r="E23" s="5" t="n">
        <v>80.900000000000006</v>
      </c>
      <c r="F23" s="3" t="n">
        <v>29.536057538722719</v>
      </c>
      <c r="G23" s="6" t="n">
        <v>166</v>
      </c>
      <c r="H23" s="6" t="n">
        <v>79.3</v>
      </c>
      <c r="I23" s="3" t="n">
        <v>28.777761649005662</v>
      </c>
      <c r="J23" s="3" t="n">
        <v>3.73</v>
      </c>
      <c r="K23" s="3" t="n">
        <v>2.85</v>
      </c>
      <c r="L23" s="3" t="n">
        <v>7.71</v>
      </c>
      <c r="M23" s="3" t="n">
        <v>1.56</v>
      </c>
      <c r="N23" s="3" t="n">
        <v>102.98</v>
      </c>
      <c r="O23" s="3" t="n">
        <v>3.61</v>
      </c>
      <c r="P23" s="3" t="n">
        <v>2.85</v>
      </c>
      <c r="Q23" s="3" t="n">
        <v>8.1300000000000008</v>
      </c>
      <c r="R23" s="3" t="n">
        <v>1.63</v>
      </c>
      <c r="S23" t="n">
        <v>101.82</v>
      </c>
      <c r="T23" s="6" t="n">
        <v>189</v>
      </c>
      <c r="U23" s="6" t="n">
        <v>74</v>
      </c>
      <c r="V23" s="6" t="n">
        <v>95</v>
      </c>
      <c r="W23" s="6" t="n">
        <v>19</v>
      </c>
      <c r="X23" s="5" t="n">
        <v>8.5</v>
      </c>
      <c r="Y23" s="3" t="n">
        <v>2.4300000000000002</v>
      </c>
      <c r="Z23" s="3" t="n">
        <v>30.04</v>
      </c>
      <c r="AA23" s="5" t="n">
        <v>89.5</v>
      </c>
      <c r="AB23" s="6" t="n">
        <v>44</v>
      </c>
      <c r="AC23" s="3" t="n">
        <v>1.21</v>
      </c>
      <c r="AD23" s="6" t="n">
        <v>181</v>
      </c>
      <c r="AE23" s="3" t="n">
        <v>13.425414364640885</v>
      </c>
      <c r="AF23" s="3" t="n">
        <v>25.03</v>
      </c>
      <c r="AG23" s="3" t="n">
        <v>1.48</v>
      </c>
      <c r="AH23" s="6" t="n">
        <v>129</v>
      </c>
      <c r="AI23" s="6" t="n">
        <v>80</v>
      </c>
      <c r="AJ23" s="6" t="n">
        <v>219</v>
      </c>
      <c r="AK23" s="6" t="n">
        <v>77</v>
      </c>
      <c r="AL23" s="1"/>
      <c r="AM23" s="6" t="n">
        <v>18</v>
      </c>
      <c r="AN23" s="3" t="n">
        <v>2.85</v>
      </c>
      <c r="AO23" s="3" t="n">
        <v>35.94</v>
      </c>
      <c r="AP23" s="5" t="n">
        <v>104.7</v>
      </c>
      <c r="AQ23" s="6" t="n">
        <v>52</v>
      </c>
      <c r="AR23" s="3" t="n">
        <v>1.24</v>
      </c>
      <c r="AS23" s="6" t="n">
        <v>173</v>
      </c>
      <c r="AT23" s="3" t="n">
        <v>22.8</v>
      </c>
      <c r="AU23" s="3" t="n">
        <v>2.25</v>
      </c>
      <c r="AV23" s="3" t="n">
        <v>16.473988439306357</v>
      </c>
      <c r="AW23" s="5" t="n">
        <v>10.6</v>
      </c>
      <c r="AX23" s="5" t="n">
        <v>8.6999999999999993</v>
      </c>
      <c r="AY23" s="3" t="n">
        <v>44.691000000000003</v>
      </c>
      <c r="AZ23" s="3" t="n">
        <v>33.371000000000002</v>
      </c>
      <c r="BA23" s="3" t="n">
        <v>41.249690976514216</v>
      </c>
      <c r="BB23" s="3" t="n">
        <v>31.434000000000001</v>
      </c>
      <c r="BC23" s="3" t="n">
        <v>39.639344262295083</v>
      </c>
      <c r="BD23" s="3" t="n">
        <v>45.069000000000003</v>
      </c>
      <c r="BE23" s="6" t="n">
        <v>15721</v>
      </c>
      <c r="BF23" s="6" t="n">
        <v>16144</v>
      </c>
      <c r="BG23" s="10" t="n">
        <v>169</v>
      </c>
      <c r="BH23" s="10" t="n">
        <v>81</v>
      </c>
      <c r="BI23" s="10" t="n">
        <v>13.64</v>
      </c>
      <c r="BJ23" s="9" t="n">
        <v>32</v>
      </c>
      <c r="BK23" s="10" t="n">
        <v>148</v>
      </c>
      <c r="BL23" s="10" t="n">
        <v>88</v>
      </c>
      <c r="BM23" s="10" t="n">
        <v>13.03</v>
      </c>
      <c r="BN23" s="9" t="n">
        <v>20</v>
      </c>
      <c r="BO23" s="5" t="n">
        <v>581.4453620928806</v>
      </c>
      <c r="BP23" s="5" t="n">
        <v>660.64562816228215</v>
      </c>
      <c r="BQ23" s="3" t="n">
        <v>120</v>
      </c>
      <c r="BR23" s="3" t="n">
        <v>165</v>
      </c>
      <c r="BS23" s="12" t="n">
        <v>4793.6989999999996</v>
      </c>
      <c r="BT23" s="12" t="n">
        <v>4821.6859999999997</v>
      </c>
      <c r="BU23" s="12" t="n">
        <v>2961.0639999999999</v>
      </c>
      <c r="BV23" s="12" t="n">
        <v>3229.3690000000001</v>
      </c>
      <c r="BW23" s="12" t="n">
        <v>3628.6480000000001</v>
      </c>
      <c r="BX23" s="12" t="n">
        <v>3871.8380000000002</v>
      </c>
      <c r="BY23" s="5" t="n">
        <v>36.427570000000003</v>
      </c>
      <c r="BZ23" s="5" t="n">
        <v>40.348100000000002</v>
      </c>
      <c r="CA23" s="5" t="n">
        <v>63.572429999999997</v>
      </c>
      <c r="CB23" s="5" t="n">
        <v>59.651899999999998</v>
      </c>
      <c r="CC23" s="3" t="n">
        <v>4.6640926640926637</v>
      </c>
      <c r="CD23" s="3" t="n">
        <v>4.2431372549019608</v>
      </c>
      <c r="CE23" s="3" t="n">
        <v>2.9557522123893807</v>
      </c>
      <c r="CF23" s="3" t="n">
        <v>2.8992042440318304</v>
      </c>
      <c r="CG23" s="3" t="n">
        <v>3.5780590717299576</v>
      </c>
      <c r="CH23" s="3" t="n">
        <v>3.4414556962025316</v>
      </c>
      <c r="CI23" s="3" t="n">
        <v>0.97296316271096273</v>
      </c>
      <c r="CJ23" s="3" t="n">
        <v>0.88001117064383017</v>
      </c>
      <c r="CK23" s="3" t="n">
        <v>0.99820609737293842</v>
      </c>
      <c r="CL23" s="3" t="n">
        <v>0.8977618888105845</v>
      </c>
      <c r="CM23" s="3" t="n">
        <v>0.98605834623902611</v>
      </c>
      <c r="CN23" s="3" t="n">
        <v>0.88884279565834001</v>
      </c>
      <c r="CO23" s="3" t="n">
        <v>1.1028552063949228</v>
      </c>
      <c r="CP23" s="3" t="n">
        <v>1.1436450817550616</v>
      </c>
      <c r="CQ23" s="3" t="n">
        <v>0.98590657436474383</v>
      </c>
      <c r="CR23" s="3" t="n">
        <v>1.1468757893740875</v>
      </c>
      <c r="CS23" s="6"/>
    </row>
    <row r="24">
      <c r="A24" s="6" t="n">
        <v>40</v>
      </c>
      <c r="B24" s="6" t="n">
        <v>1</v>
      </c>
      <c r="C24" s="3" t="n">
        <v>51.31</v>
      </c>
      <c r="D24" s="5" t="n">
        <v>155.69999999999999</v>
      </c>
      <c r="E24" s="5" t="n">
        <v>78.2</v>
      </c>
      <c r="F24" s="3" t="n">
        <v>32.257412501768592</v>
      </c>
      <c r="G24" s="6" t="n">
        <v>155.9</v>
      </c>
      <c r="H24" s="6" t="n">
        <v>80.099999999999994</v>
      </c>
      <c r="I24" s="3" t="n">
        <v>32.956439486669503</v>
      </c>
      <c r="J24" s="3" t="n">
        <v>3.24</v>
      </c>
      <c r="K24" s="3" t="n">
        <v>2.4</v>
      </c>
      <c r="L24" s="3" t="n">
        <v>7.67</v>
      </c>
      <c r="M24" s="3" t="n">
        <v>1.8</v>
      </c>
      <c r="N24" s="3" t="n">
        <v>98.73</v>
      </c>
      <c r="O24" s="1"/>
      <c r="P24" s="1"/>
      <c r="Q24" s="1"/>
      <c r="R24" s="1"/>
      <c r="S24" t="n">
        <v>85.36</v>
      </c>
      <c r="T24" s="1"/>
      <c r="U24" s="1"/>
      <c r="V24" s="1"/>
      <c r="W24" s="6" t="n">
        <v>18</v>
      </c>
      <c r="X24" s="5" t="n">
        <v>11</v>
      </c>
      <c r="Y24" s="3" t="n">
        <v>2.62</v>
      </c>
      <c r="Z24" s="3" t="n">
        <v>33.5</v>
      </c>
      <c r="AA24" s="5" t="n">
        <v>80.400000000000006</v>
      </c>
      <c r="AB24" s="6" t="n">
        <v>45</v>
      </c>
      <c r="AC24" s="3" t="n">
        <v>1.1599999999999999</v>
      </c>
      <c r="AD24" s="6" t="n">
        <v>200</v>
      </c>
      <c r="AE24" s="3" t="n">
        <v>13.1</v>
      </c>
      <c r="AF24" s="3" t="n">
        <v>23.2</v>
      </c>
      <c r="AG24" s="3" t="n">
        <v>2.54</v>
      </c>
      <c r="AH24" s="6" t="n">
        <v>182</v>
      </c>
      <c r="AI24" s="6" t="n">
        <v>96</v>
      </c>
      <c r="AJ24" s="1"/>
      <c r="AK24" s="1"/>
      <c r="AL24" s="6" t="n">
        <v>90</v>
      </c>
      <c r="AM24" s="6" t="n">
        <v>17</v>
      </c>
      <c r="AN24" s="3" t="n">
        <v>2.76</v>
      </c>
      <c r="AO24" s="3" t="n">
        <v>34.46</v>
      </c>
      <c r="AP24" s="5" t="n">
        <v>93.3</v>
      </c>
      <c r="AQ24" s="6" t="n">
        <v>57</v>
      </c>
      <c r="AR24" s="3" t="n">
        <v>1.1299999999999999</v>
      </c>
      <c r="AS24" s="6" t="n">
        <v>189</v>
      </c>
      <c r="AT24" s="3" t="n">
        <v>25.5</v>
      </c>
      <c r="AU24" s="3" t="n">
        <v>2.66</v>
      </c>
      <c r="AV24" s="3" t="n">
        <v>14.603174603174603</v>
      </c>
      <c r="AW24" s="5" t="n">
        <v>10</v>
      </c>
      <c r="AX24" s="5" t="n">
        <v>8.6</v>
      </c>
      <c r="AY24" s="3" t="n">
        <v>47.215000000000003</v>
      </c>
      <c r="AZ24" s="3" t="n">
        <v>28.466999999999999</v>
      </c>
      <c r="BA24" s="3" t="n">
        <v>36.402813299232733</v>
      </c>
      <c r="BB24" s="3" t="n">
        <v>30.579000000000001</v>
      </c>
      <c r="BC24" s="3" t="n">
        <v>38.176029962546821</v>
      </c>
      <c r="BD24" s="3" t="n">
        <v>47.27</v>
      </c>
      <c r="BE24" s="6" t="n">
        <v>16875</v>
      </c>
      <c r="BF24" s="6" t="n">
        <v>17082</v>
      </c>
      <c r="BG24" s="10" t="n">
        <v>158</v>
      </c>
      <c r="BH24" s="10" t="n">
        <v>75.988000000000014</v>
      </c>
      <c r="BI24" s="10" t="n">
        <v>12.006104000000002</v>
      </c>
      <c r="BJ24" s="9" t="n">
        <v>25</v>
      </c>
      <c r="BK24" s="10" t="n">
        <v>146</v>
      </c>
      <c r="BL24" s="10" t="n">
        <v>72</v>
      </c>
      <c r="BM24" s="10" t="n">
        <v>10.51</v>
      </c>
      <c r="BN24" s="9" t="n">
        <v>30</v>
      </c>
      <c r="BO24" s="5" t="n">
        <v>710.17006450422514</v>
      </c>
      <c r="BP24" s="5" t="n">
        <v>733.53366498824641</v>
      </c>
      <c r="BQ24" s="3" t="n">
        <v>360</v>
      </c>
      <c r="BR24" s="3" t="n">
        <v>480</v>
      </c>
      <c r="BS24" s="12" t="n">
        <v>6818.107</v>
      </c>
      <c r="BT24" s="12" t="n">
        <v>6410.5879999999997</v>
      </c>
      <c r="BU24" s="12" t="n">
        <v>3312.5929999999998</v>
      </c>
      <c r="BV24" s="12" t="n">
        <v>3709.7339999999999</v>
      </c>
      <c r="BW24" s="12" t="n">
        <v>4950.0370000000003</v>
      </c>
      <c r="BX24" s="12" t="n">
        <v>4552.2020000000002</v>
      </c>
      <c r="BY24" s="5" t="n">
        <v>46.710529999999999</v>
      </c>
      <c r="BZ24" s="5" t="n">
        <v>31.19266</v>
      </c>
      <c r="CA24" s="5" t="n">
        <v>53.289470000000001</v>
      </c>
      <c r="CB24" s="5" t="n">
        <v>68.807339999999996</v>
      </c>
      <c r="CC24" s="3" t="n">
        <v>5.845070422535211</v>
      </c>
      <c r="CD24" s="3" t="n">
        <v>5.3235294117647056</v>
      </c>
      <c r="CE24" s="3" t="n">
        <v>3.8703703703703702</v>
      </c>
      <c r="CF24" s="3" t="n">
        <v>3.6533333333333333</v>
      </c>
      <c r="CG24" s="3" t="n">
        <v>4.7927631578947372</v>
      </c>
      <c r="CH24" s="3" t="n">
        <v>4.1743119266055047</v>
      </c>
      <c r="CI24" s="3" t="n">
        <v>0.85728645926469615</v>
      </c>
      <c r="CJ24" s="3" t="n">
        <v>0.83042759186975146</v>
      </c>
      <c r="CK24" s="3" t="n">
        <v>1.1683807763012584</v>
      </c>
      <c r="CL24" s="3" t="n">
        <v>0.98479668894819994</v>
      </c>
      <c r="CM24" s="3" t="n">
        <v>0.96822774284814817</v>
      </c>
      <c r="CN24" s="3" t="n">
        <v>0.91698740736462248</v>
      </c>
      <c r="CO24" s="3" t="n">
        <v>0.80949952476386167</v>
      </c>
      <c r="CP24" s="3" t="n">
        <v>0.79672761175660645</v>
      </c>
      <c r="CQ24" s="3" t="n">
        <v>0.92409581489330295</v>
      </c>
      <c r="CR24" s="3" t="n">
        <v>0.86217272804374023</v>
      </c>
      <c r="CS24" s="6"/>
    </row>
    <row r="25">
      <c r="A25" s="6" t="n">
        <v>41</v>
      </c>
      <c r="B25" s="6" t="n">
        <v>1</v>
      </c>
      <c r="C25" s="3" t="n">
        <v>67.38</v>
      </c>
      <c r="D25" s="5" t="n">
        <v>164.8</v>
      </c>
      <c r="E25" s="5" t="n">
        <v>73.7</v>
      </c>
      <c r="F25" s="3" t="n">
        <v>27.13645254029597</v>
      </c>
      <c r="G25" s="6" t="n">
        <v>164.5</v>
      </c>
      <c r="H25" s="6" t="n">
        <v>75.599999999999994</v>
      </c>
      <c r="I25" s="3" t="n">
        <v>27.93765763435297</v>
      </c>
      <c r="J25" s="3" t="n">
        <v>4.08</v>
      </c>
      <c r="K25" s="3" t="n">
        <v>3.15</v>
      </c>
      <c r="L25" s="3" t="n">
        <v>7.09</v>
      </c>
      <c r="M25" s="3" t="n">
        <v>1.03</v>
      </c>
      <c r="N25" s="3" t="n">
        <v>137.57</v>
      </c>
      <c r="O25" s="1"/>
      <c r="P25" s="1"/>
      <c r="Q25" s="1"/>
      <c r="R25" s="1"/>
      <c r="S25" t="n">
        <v>131.13</v>
      </c>
      <c r="T25" s="1"/>
      <c r="U25" s="1"/>
      <c r="V25" s="1"/>
      <c r="W25" s="6" t="n">
        <v>18</v>
      </c>
      <c r="X25" s="5" t="n">
        <v>9.5</v>
      </c>
      <c r="Y25" s="3" t="n">
        <v>2.2000000000000002</v>
      </c>
      <c r="Z25" s="3" t="n">
        <v>29.85</v>
      </c>
      <c r="AA25" s="5" t="n">
        <v>88.7</v>
      </c>
      <c r="AB25" s="6" t="n">
        <v>40</v>
      </c>
      <c r="AC25" s="3" t="n">
        <v>1.35</v>
      </c>
      <c r="AD25" s="1"/>
      <c r="AE25" s="1"/>
      <c r="AF25" s="3" t="n">
        <v>25.3</v>
      </c>
      <c r="AG25" s="3" t="n">
        <v>1.73</v>
      </c>
      <c r="AH25" s="6" t="n">
        <v>153</v>
      </c>
      <c r="AI25" s="6" t="n">
        <v>77</v>
      </c>
      <c r="AJ25" s="6" t="n">
        <v>203</v>
      </c>
      <c r="AK25" s="6" t="n">
        <v>66</v>
      </c>
      <c r="AL25" s="6" t="n">
        <v>97</v>
      </c>
      <c r="AM25" s="6" t="n">
        <v>17</v>
      </c>
      <c r="AN25" s="3" t="n">
        <v>2.19</v>
      </c>
      <c r="AO25" s="3" t="n">
        <v>28.97</v>
      </c>
      <c r="AP25" s="5" t="n">
        <v>86.6</v>
      </c>
      <c r="AQ25" s="6" t="n">
        <v>39</v>
      </c>
      <c r="AR25" s="3" t="n">
        <v>1.22</v>
      </c>
      <c r="AS25" s="6" t="n">
        <v>163</v>
      </c>
      <c r="AT25" s="3" t="n">
        <v>29.3</v>
      </c>
      <c r="AU25" s="3" t="n">
        <v>1.82</v>
      </c>
      <c r="AV25" s="3" t="n">
        <v>13.435582822085889</v>
      </c>
      <c r="AW25" s="5" t="n">
        <v>10.3</v>
      </c>
      <c r="AX25" s="5" t="n">
        <v>6.3</v>
      </c>
      <c r="AY25" s="3" t="n">
        <v>44.15</v>
      </c>
      <c r="AZ25" s="3" t="n">
        <v>27.919</v>
      </c>
      <c r="BA25" s="3" t="n">
        <v>37.881953867028493</v>
      </c>
      <c r="BB25" s="3" t="n">
        <v>29.71</v>
      </c>
      <c r="BC25" s="3" t="n">
        <v>39.298941798941804</v>
      </c>
      <c r="BD25" s="3" t="n">
        <v>43.820999999999998</v>
      </c>
      <c r="BE25" s="6" t="n">
        <v>14608</v>
      </c>
      <c r="BF25" s="6" t="n">
        <v>15212</v>
      </c>
      <c r="BG25" s="10" t="n">
        <v>147</v>
      </c>
      <c r="BH25" s="10" t="n">
        <v>78</v>
      </c>
      <c r="BI25" s="10" t="n">
        <v>11.45</v>
      </c>
      <c r="BJ25" s="9" t="n">
        <v>30</v>
      </c>
      <c r="BK25" s="10" t="n">
        <v>134</v>
      </c>
      <c r="BL25" s="10" t="n">
        <v>80</v>
      </c>
      <c r="BM25" s="10" t="n">
        <v>10.74</v>
      </c>
      <c r="BN25" s="9" t="n">
        <v>27</v>
      </c>
      <c r="BQ25" s="3" t="n">
        <v>75</v>
      </c>
      <c r="BR25" s="3" t="n">
        <v>90</v>
      </c>
      <c r="BS25" s="12" t="n">
        <v>3037.4360000000001</v>
      </c>
      <c r="BT25" s="12" t="n">
        <v>4299.8220000000001</v>
      </c>
      <c r="BU25" s="12" t="n">
        <v>1785.653</v>
      </c>
      <c r="BV25" s="12" t="n">
        <v>2758.3020000000001</v>
      </c>
      <c r="BW25" s="12" t="n">
        <v>2171.288</v>
      </c>
      <c r="BX25" s="12" t="n">
        <v>3213.8339999999998</v>
      </c>
      <c r="BY25" s="5" t="n">
        <v>30.806850000000001</v>
      </c>
      <c r="BZ25" s="5" t="n">
        <v>29.550830000000001</v>
      </c>
      <c r="CA25" s="5" t="n">
        <v>69.193150000000003</v>
      </c>
      <c r="CB25" s="5" t="n">
        <v>70.449169999999995</v>
      </c>
      <c r="CC25" s="3" t="n">
        <v>3.3809523809523809</v>
      </c>
      <c r="CD25" s="3" t="n">
        <v>2.992</v>
      </c>
      <c r="CE25" s="3" t="n">
        <v>2.5123674911660778</v>
      </c>
      <c r="CF25" s="3" t="n">
        <v>2.174496644295302</v>
      </c>
      <c r="CG25" s="3" t="n">
        <v>2.779951100244499</v>
      </c>
      <c r="CH25" s="3" t="n">
        <v>2.4160756501182035</v>
      </c>
      <c r="CI25" s="3" t="n">
        <v>1.1130941548316584</v>
      </c>
      <c r="CJ25" s="3" t="n">
        <v>0.69584278403497746</v>
      </c>
      <c r="CK25" s="3" t="n">
        <v>1.406973756650562</v>
      </c>
      <c r="CL25" s="3" t="n">
        <v>0.78834614176828688</v>
      </c>
      <c r="CM25" s="3" t="n">
        <v>1.28032341568541</v>
      </c>
      <c r="CN25" s="3" t="n">
        <v>0.75177368016659651</v>
      </c>
      <c r="CO25" s="3" t="n">
        <v>0.67824541078130052</v>
      </c>
      <c r="CP25" s="3" t="n">
        <v>0.99036742855406024</v>
      </c>
      <c r="CQ25" s="3" t="n">
        <v>1.4692835266737916</v>
      </c>
      <c r="CR25" s="3" t="n">
        <v>1.1388867419579403</v>
      </c>
      <c r="CS25" s="6"/>
    </row>
    <row r="26">
      <c r="A26" s="6" t="n">
        <v>46</v>
      </c>
      <c r="B26" s="6" t="n">
        <v>2</v>
      </c>
      <c r="C26" s="3" t="n">
        <v>55.2</v>
      </c>
      <c r="D26" s="5" t="n">
        <v>165.8</v>
      </c>
      <c r="E26" s="5" t="n">
        <v>77</v>
      </c>
      <c r="F26" s="3" t="n">
        <v>28.010552338990248</v>
      </c>
      <c r="G26" s="6" t="n">
        <v>166.4</v>
      </c>
      <c r="H26" s="6" t="n">
        <v>80.3</v>
      </c>
      <c r="I26" s="3" t="n">
        <v>29.000728088017745</v>
      </c>
      <c r="J26" s="3" t="n">
        <v>3.75</v>
      </c>
      <c r="K26" s="3" t="n">
        <v>2.87</v>
      </c>
      <c r="L26" s="3" t="n">
        <v>6.45</v>
      </c>
      <c r="M26" s="3" t="n">
        <v>1.26</v>
      </c>
      <c r="N26" s="3" t="n">
        <v>112.61</v>
      </c>
      <c r="O26" s="1"/>
      <c r="P26" s="1"/>
      <c r="Q26" s="1"/>
      <c r="R26" s="1"/>
      <c r="S26" t="n">
        <v>110.07</v>
      </c>
      <c r="T26" s="1"/>
      <c r="U26" s="1"/>
      <c r="V26" s="1"/>
      <c r="W26" s="6" t="n">
        <v>16</v>
      </c>
      <c r="X26" s="5" t="n">
        <v>10.5</v>
      </c>
      <c r="Y26" s="3" t="n">
        <v>2.35</v>
      </c>
      <c r="Z26" s="3" t="n">
        <v>30.52</v>
      </c>
      <c r="AA26" s="5" t="n">
        <v>108.2</v>
      </c>
      <c r="AB26" s="6" t="n">
        <v>58</v>
      </c>
      <c r="AC26" s="3" t="n">
        <v>1.35</v>
      </c>
      <c r="AD26" s="6" t="n">
        <v>184</v>
      </c>
      <c r="AE26" s="3" t="n">
        <v>12.771739130434783</v>
      </c>
      <c r="AF26" s="3" t="n">
        <v>29.7</v>
      </c>
      <c r="AG26" s="3" t="n">
        <v>1.97</v>
      </c>
      <c r="AH26" s="6" t="n">
        <v>121</v>
      </c>
      <c r="AI26" s="6" t="n">
        <v>89</v>
      </c>
      <c r="AJ26" s="6" t="n">
        <v>182</v>
      </c>
      <c r="AK26" s="6" t="n">
        <v>74</v>
      </c>
      <c r="AL26" s="6" t="n">
        <v>93</v>
      </c>
      <c r="AM26" s="6" t="n">
        <v>15</v>
      </c>
      <c r="AN26" s="3" t="n">
        <v>2.36</v>
      </c>
      <c r="AO26" s="3" t="n">
        <v>29.39</v>
      </c>
      <c r="AP26" s="5" t="n">
        <v>103</v>
      </c>
      <c r="AQ26" s="6" t="n">
        <v>46</v>
      </c>
      <c r="AR26" s="3" t="n">
        <v>1.21</v>
      </c>
      <c r="AS26" s="6" t="n">
        <v>175</v>
      </c>
      <c r="AT26" s="3" t="n">
        <v>29.3</v>
      </c>
      <c r="AU26" s="3" t="n">
        <v>2.16</v>
      </c>
      <c r="AV26" s="3" t="n">
        <v>13.485714285714286</v>
      </c>
      <c r="AW26" s="1"/>
      <c r="AX26" s="5" t="n">
        <v>6.3</v>
      </c>
      <c r="AY26" s="3" t="n">
        <v>43.325000000000003</v>
      </c>
      <c r="AZ26" s="3" t="n">
        <v>31.004999999999999</v>
      </c>
      <c r="BA26" s="3" t="n">
        <v>40.266233766233768</v>
      </c>
      <c r="BB26" s="3" t="n">
        <v>32.884999999999998</v>
      </c>
      <c r="BC26" s="3" t="n">
        <v>40.952677459526775</v>
      </c>
      <c r="BD26" s="3" t="n">
        <v>44.856999999999999</v>
      </c>
      <c r="BE26" s="6" t="n">
        <v>15646</v>
      </c>
      <c r="BF26" s="6" t="n">
        <v>16154</v>
      </c>
      <c r="BG26" s="10" t="n">
        <v>162</v>
      </c>
      <c r="BH26" s="10" t="n">
        <v>78</v>
      </c>
      <c r="BI26" s="10" t="n">
        <v>12.66</v>
      </c>
      <c r="BJ26" s="9" t="n">
        <v>14</v>
      </c>
      <c r="BK26" s="10" t="n">
        <v>141</v>
      </c>
      <c r="BL26" s="10" t="n">
        <v>76</v>
      </c>
      <c r="BM26" s="10" t="n">
        <v>10.71</v>
      </c>
      <c r="BN26" s="9" t="n">
        <v>39</v>
      </c>
      <c r="BQ26" s="3" t="n">
        <v>60</v>
      </c>
      <c r="BR26" s="3" t="n">
        <v>60</v>
      </c>
      <c r="BS26" s="12" t="n">
        <v>5327.2340000000004</v>
      </c>
      <c r="BT26" s="12" t="n">
        <v>4861.2690000000002</v>
      </c>
      <c r="BU26" s="12" t="n">
        <v>5713.7439999999997</v>
      </c>
      <c r="BV26" s="12" t="n">
        <v>4508.9629999999997</v>
      </c>
      <c r="BW26" s="12" t="n">
        <v>5569.9660000000003</v>
      </c>
      <c r="BX26" s="12" t="n">
        <v>4682.2150000000001</v>
      </c>
      <c r="BY26" s="5" t="n">
        <v>37.199120000000001</v>
      </c>
      <c r="BZ26" s="5" t="n">
        <v>49.176470000000002</v>
      </c>
      <c r="CA26" s="5" t="n">
        <v>62.800879999999999</v>
      </c>
      <c r="CB26" s="5" t="n">
        <v>50.823529999999998</v>
      </c>
      <c r="CC26" s="3" t="n">
        <v>4.3705882352941172</v>
      </c>
      <c r="CD26" s="3" t="n">
        <v>4.8277511961722492</v>
      </c>
      <c r="CE26" s="3" t="n">
        <v>3.9930313588850175</v>
      </c>
      <c r="CF26" s="3" t="n">
        <v>3.824074074074074</v>
      </c>
      <c r="CG26" s="3" t="n">
        <v>4.1334792122538291</v>
      </c>
      <c r="CH26" s="3" t="n">
        <v>4.3176470588235292</v>
      </c>
      <c r="CI26" s="3" t="n">
        <v>0.82042353288286252</v>
      </c>
      <c r="CJ26" s="3" t="n">
        <v>0.99310509475118236</v>
      </c>
      <c r="CK26" s="3" t="n">
        <v>0.69884676745500607</v>
      </c>
      <c r="CL26" s="3" t="n">
        <v>0.84810494799725444</v>
      </c>
      <c r="CM26" s="3" t="n">
        <v>0.74210139528183661</v>
      </c>
      <c r="CN26" s="3" t="n">
        <v>0.92213773960863499</v>
      </c>
      <c r="CO26" s="13" t="n">
        <v>0.67</v>
      </c>
      <c r="CP26" s="13" t="n">
        <v>0.85</v>
      </c>
      <c r="CQ26" s="13" t="n">
        <v>0.71</v>
      </c>
      <c r="CR26" s="13" t="n">
        <v>0.77</v>
      </c>
      <c r="CS26" s="6"/>
    </row>
    <row r="27">
      <c r="A27" s="6" t="n">
        <v>47</v>
      </c>
      <c r="B27" s="6" t="n">
        <v>1</v>
      </c>
      <c r="C27" s="3" t="n">
        <v>60.53</v>
      </c>
      <c r="D27" s="5" t="n">
        <v>169.7</v>
      </c>
      <c r="E27" s="5" t="n">
        <v>53.8</v>
      </c>
      <c r="F27" s="3" t="n">
        <v>18.68179452178947</v>
      </c>
      <c r="G27" s="6" t="n">
        <v>170.2</v>
      </c>
      <c r="H27" s="6" t="n">
        <v>52.5</v>
      </c>
      <c r="I27" s="3" t="n">
        <v>18.123421536286198</v>
      </c>
      <c r="J27" s="3" t="n">
        <v>2.95</v>
      </c>
      <c r="K27" s="3" t="n">
        <v>2.34</v>
      </c>
      <c r="L27" s="3" t="n">
        <v>5.94</v>
      </c>
      <c r="M27" s="3" t="n">
        <v>1.3</v>
      </c>
      <c r="N27" s="3" t="n">
        <v>99.93</v>
      </c>
      <c r="O27" s="1"/>
      <c r="P27" s="1"/>
      <c r="Q27" s="1"/>
      <c r="R27" s="1"/>
      <c r="T27" s="1"/>
      <c r="U27" s="1"/>
      <c r="V27" s="1"/>
      <c r="W27" s="1"/>
      <c r="X27" s="5" t="n">
        <v>9.5</v>
      </c>
      <c r="Y27" s="3" t="n">
        <v>1.6</v>
      </c>
      <c r="Z27" s="3" t="n">
        <v>29.74</v>
      </c>
      <c r="AA27" s="5" t="n">
        <v>76.3</v>
      </c>
      <c r="AB27" s="6" t="n">
        <v>47</v>
      </c>
      <c r="AC27" s="3" t="n">
        <v>1.24</v>
      </c>
      <c r="AD27" s="6" t="n">
        <v>177</v>
      </c>
      <c r="AE27" s="3" t="n">
        <v>9.0395480225988702</v>
      </c>
      <c r="AF27" s="3" t="n">
        <v>27.8</v>
      </c>
      <c r="AG27" s="3" t="n">
        <v>1.44</v>
      </c>
      <c r="AH27" s="6" t="n">
        <v>110</v>
      </c>
      <c r="AI27" s="6" t="n">
        <v>74</v>
      </c>
      <c r="AJ27" s="6" t="n">
        <v>198</v>
      </c>
      <c r="AK27" s="6" t="n">
        <v>50</v>
      </c>
      <c r="AL27" s="6" t="n">
        <v>98</v>
      </c>
      <c r="AM27" s="1"/>
      <c r="AN27" s="3" t="n">
        <v>1.56</v>
      </c>
      <c r="AO27" s="3" t="n">
        <v>29.71</v>
      </c>
      <c r="AP27" s="5" t="n">
        <v>60.9</v>
      </c>
      <c r="AQ27" s="6" t="n">
        <v>43</v>
      </c>
      <c r="AR27" s="3" t="n">
        <v>1.19</v>
      </c>
      <c r="AS27" s="6" t="n">
        <v>162</v>
      </c>
      <c r="AT27" s="3" t="n">
        <v>24.6</v>
      </c>
      <c r="AU27" s="3" t="n">
        <v>1.34</v>
      </c>
      <c r="AV27" s="3" t="n">
        <v>9.6296296296296298</v>
      </c>
      <c r="AW27" s="1"/>
      <c r="AX27" s="5" t="n">
        <v>5.5</v>
      </c>
      <c r="AY27" s="3" t="n">
        <v>33.737000000000002</v>
      </c>
      <c r="AZ27" s="3" t="n">
        <v>18.199000000000002</v>
      </c>
      <c r="BA27" s="3" t="n">
        <v>33.827137546468407</v>
      </c>
      <c r="BB27" s="3" t="n">
        <v>15.35</v>
      </c>
      <c r="BC27" s="3" t="n">
        <v>29.238095238095234</v>
      </c>
      <c r="BD27" s="3" t="n">
        <v>35.387999999999998</v>
      </c>
      <c r="BE27" s="6" t="n">
        <v>11136</v>
      </c>
      <c r="BF27" s="6" t="n">
        <v>11378</v>
      </c>
      <c r="BG27" s="10"/>
      <c r="BH27" s="10"/>
      <c r="BI27" s="10"/>
      <c r="BJ27" s="9"/>
      <c r="BK27" s="10" t="n">
        <v>121</v>
      </c>
      <c r="BL27" s="10" t="n">
        <v>95</v>
      </c>
      <c r="BM27" s="10" t="n">
        <v>11.5</v>
      </c>
      <c r="BN27" s="9" t="n">
        <v>40</v>
      </c>
      <c r="BQ27" s="3" t="n">
        <v>0</v>
      </c>
      <c r="BR27" s="3" t="n">
        <v>60</v>
      </c>
      <c r="BS27" s="12" t="n">
        <v>2456.1410000000001</v>
      </c>
      <c r="BT27" s="12" t="n">
        <v>2731.8870000000002</v>
      </c>
      <c r="BU27" s="12" t="n">
        <v>1720.3789999999999</v>
      </c>
      <c r="BV27" s="12" t="n">
        <v>2156.9090000000001</v>
      </c>
      <c r="BW27" s="12" t="n">
        <v>1973.808</v>
      </c>
      <c r="BX27" s="12" t="n">
        <v>2336.433</v>
      </c>
      <c r="BY27" s="5" t="n">
        <v>34.44444</v>
      </c>
      <c r="BZ27" s="5" t="n">
        <v>31.222709999999999</v>
      </c>
      <c r="CA27" s="5" t="n">
        <v>65.55556</v>
      </c>
      <c r="CB27" s="5" t="n">
        <v>68.777289999999994</v>
      </c>
      <c r="CC27" s="3" t="n">
        <v>3.064516129032258</v>
      </c>
      <c r="CD27" s="3" t="n">
        <v>2.7972027972027971</v>
      </c>
      <c r="CE27" s="3" t="n">
        <v>2.4830508474576272</v>
      </c>
      <c r="CF27" s="3" t="n">
        <v>2.5619047619047617</v>
      </c>
      <c r="CG27" s="3" t="n">
        <v>2.6833333333333331</v>
      </c>
      <c r="CH27" s="3" t="n">
        <v>2.6353711790393013</v>
      </c>
      <c r="CI27" s="3" t="n">
        <v>1.2476957085033296</v>
      </c>
      <c r="CJ27" s="3" t="n">
        <v>1.0239086509657955</v>
      </c>
      <c r="CK27" s="3" t="n">
        <v>1.4433159933722088</v>
      </c>
      <c r="CL27" s="3" t="n">
        <v>1.187766553782875</v>
      </c>
      <c r="CM27" s="3" t="n">
        <v>1.3594701837147949</v>
      </c>
      <c r="CN27" s="3" t="n">
        <v>1.127946421150716</v>
      </c>
      <c r="CO27" s="3" t="n">
        <v>0.89936189865297511</v>
      </c>
      <c r="CP27" s="3" t="n">
        <v>0.90241460147005681</v>
      </c>
      <c r="CQ27" s="3" t="n">
        <v>1.2173882765349349</v>
      </c>
      <c r="CR27" s="3" t="n">
        <v>1.3914290479183578</v>
      </c>
      <c r="CS27" s="6"/>
    </row>
    <row r="28">
      <c r="A28" s="6" t="n">
        <v>48</v>
      </c>
      <c r="B28" s="6" t="n">
        <v>1</v>
      </c>
      <c r="C28" s="3" t="n">
        <v>57.92</v>
      </c>
      <c r="D28" s="5" t="n">
        <v>176.1</v>
      </c>
      <c r="E28" s="5" t="n">
        <v>75.2</v>
      </c>
      <c r="F28" s="3" t="n">
        <v>24.249295657924993</v>
      </c>
      <c r="G28" s="6" t="n">
        <v>175.8</v>
      </c>
      <c r="H28" s="6" t="n">
        <v>74.3</v>
      </c>
      <c r="I28" s="3" t="n">
        <v>24.040919392059184</v>
      </c>
      <c r="J28" s="3" t="n">
        <v>3.34</v>
      </c>
      <c r="K28" s="3" t="n">
        <v>2.59</v>
      </c>
      <c r="L28" s="3" t="n">
        <v>9.0299999999999994</v>
      </c>
      <c r="M28" s="3" t="n">
        <v>1.85</v>
      </c>
      <c r="N28" s="3" t="n">
        <v>119.64</v>
      </c>
      <c r="O28" s="1"/>
      <c r="P28" s="1"/>
      <c r="Q28" s="1"/>
      <c r="R28" s="1"/>
      <c r="S28" t="n">
        <v>117.93</v>
      </c>
      <c r="T28" s="1"/>
      <c r="U28" s="1"/>
      <c r="V28" s="1"/>
      <c r="W28" s="6" t="n">
        <v>17</v>
      </c>
      <c r="X28" s="5" t="n">
        <v>10.5</v>
      </c>
      <c r="Y28" s="3" t="n">
        <v>2.37</v>
      </c>
      <c r="Z28" s="3" t="n">
        <v>31.52</v>
      </c>
      <c r="AA28" s="5" t="n">
        <v>91.7</v>
      </c>
      <c r="AB28" s="6" t="n">
        <v>58</v>
      </c>
      <c r="AC28" s="3" t="n">
        <v>1.17</v>
      </c>
      <c r="AD28" s="6" t="n">
        <v>184</v>
      </c>
      <c r="AE28" s="3" t="n">
        <v>12.880434782608695</v>
      </c>
      <c r="AF28" s="3" t="n">
        <v>29.4</v>
      </c>
      <c r="AG28" s="3" t="n">
        <v>2.23</v>
      </c>
      <c r="AH28" s="6" t="n">
        <v>143</v>
      </c>
      <c r="AI28" s="6" t="n">
        <v>101</v>
      </c>
      <c r="AJ28" s="6" t="n">
        <v>219</v>
      </c>
      <c r="AK28" s="6" t="n">
        <v>96</v>
      </c>
      <c r="AL28" s="1"/>
      <c r="AM28" s="6" t="n">
        <v>17</v>
      </c>
      <c r="AN28" s="3" t="n">
        <v>2.29</v>
      </c>
      <c r="AO28" s="3" t="n">
        <v>30.82</v>
      </c>
      <c r="AP28" s="5" t="n">
        <v>89.6</v>
      </c>
      <c r="AQ28" s="6" t="n">
        <v>57</v>
      </c>
      <c r="AR28" s="3" t="n">
        <v>1.22</v>
      </c>
      <c r="AS28" s="6" t="n">
        <v>179</v>
      </c>
      <c r="AT28" s="3" t="n">
        <v>30.5</v>
      </c>
      <c r="AU28" s="3" t="n">
        <v>1.84</v>
      </c>
      <c r="AV28" s="3" t="n">
        <v>12.793296089385475</v>
      </c>
      <c r="AW28" s="5" t="n">
        <v>10.199999999999999</v>
      </c>
      <c r="AX28" s="5" t="n">
        <v>7.3</v>
      </c>
      <c r="AY28" s="3" t="n">
        <v>43.348999999999997</v>
      </c>
      <c r="AZ28" s="3" t="n">
        <v>29.646000000000001</v>
      </c>
      <c r="BA28" s="3" t="n">
        <v>39.422872340425528</v>
      </c>
      <c r="BB28" s="3" t="n">
        <v>30.189</v>
      </c>
      <c r="BC28" s="3" t="n">
        <v>40.631224764468371</v>
      </c>
      <c r="BD28" s="3" t="n">
        <v>41.948999999999998</v>
      </c>
      <c r="BE28" s="6" t="n">
        <v>15779</v>
      </c>
      <c r="BF28" s="6" t="n">
        <v>15534</v>
      </c>
      <c r="BG28" s="10" t="n">
        <v>157</v>
      </c>
      <c r="BH28" s="10" t="n">
        <v>67</v>
      </c>
      <c r="BI28" s="10" t="n">
        <v>10.51</v>
      </c>
      <c r="BJ28" s="9" t="n">
        <v>20</v>
      </c>
      <c r="BK28" s="10" t="n">
        <v>140</v>
      </c>
      <c r="BL28" s="10" t="n">
        <v>78</v>
      </c>
      <c r="BM28" s="10" t="n">
        <v>10.86</v>
      </c>
      <c r="BN28" s="9" t="n">
        <v>27</v>
      </c>
      <c r="BQ28" s="3" t="n">
        <v>300</v>
      </c>
      <c r="BR28" s="3" t="n">
        <v>150</v>
      </c>
      <c r="BS28" s="12" t="n">
        <v>3704.201</v>
      </c>
      <c r="BT28" s="12" t="n">
        <v>2857.116</v>
      </c>
      <c r="BU28" s="12" t="n">
        <v>2934.4470000000001</v>
      </c>
      <c r="BV28" s="12" t="n">
        <v>2794.9229999999998</v>
      </c>
      <c r="BW28" s="12" t="n">
        <v>3340.5230000000001</v>
      </c>
      <c r="BX28" s="12" t="n">
        <v>2826.99</v>
      </c>
      <c r="BY28" s="5" t="n">
        <v>52.753979999999999</v>
      </c>
      <c r="BZ28" s="5" t="n">
        <v>51.560549999999999</v>
      </c>
      <c r="CA28" s="5" t="n">
        <v>47.246020000000001</v>
      </c>
      <c r="CB28" s="5" t="n">
        <v>48.439450000000001</v>
      </c>
      <c r="CC28" s="3" t="n">
        <v>3.6403712296983759</v>
      </c>
      <c r="CD28" s="3" t="n">
        <v>3.6222760290556901</v>
      </c>
      <c r="CE28" s="3" t="n">
        <v>2.6243523316062176</v>
      </c>
      <c r="CF28" s="3" t="n">
        <v>2.8737113402061856</v>
      </c>
      <c r="CG28" s="3" t="n">
        <v>3.1603427172582621</v>
      </c>
      <c r="CH28" s="3" t="n">
        <v>3.2596754057428217</v>
      </c>
      <c r="CI28" s="3" t="n">
        <v>0.98276828864920585</v>
      </c>
      <c r="CJ28" s="3" t="n">
        <v>1.2678085845141316</v>
      </c>
      <c r="CK28" s="3" t="n">
        <v>0.8943261272804035</v>
      </c>
      <c r="CL28" s="3" t="n">
        <v>1.0281898706169852</v>
      </c>
      <c r="CM28" s="3" t="n">
        <v>0.9460623450168183</v>
      </c>
      <c r="CN28" s="3" t="n">
        <v>1.15305519935527</v>
      </c>
      <c r="CO28" s="3" t="n">
        <v>1.0951104609053601</v>
      </c>
      <c r="CP28" s="3" t="n">
        <v>1.0053808239317317</v>
      </c>
      <c r="CQ28" s="3" t="n">
        <v>0.91884705953482237</v>
      </c>
      <c r="CR28" s="3" t="n">
        <v>1.119853701257481</v>
      </c>
      <c r="CS28" s="6"/>
    </row>
    <row r="29">
      <c r="A29" s="6" t="n">
        <v>52</v>
      </c>
      <c r="B29" s="6" t="n">
        <v>2</v>
      </c>
      <c r="C29" s="3" t="n">
        <v>54.61</v>
      </c>
      <c r="D29" s="5" t="n">
        <v>158</v>
      </c>
      <c r="E29" s="5" t="n">
        <v>78.3</v>
      </c>
      <c r="F29" s="3" t="n">
        <v>31.365165838807876</v>
      </c>
      <c r="G29" s="6" t="n">
        <v>157</v>
      </c>
      <c r="H29" s="6" t="n">
        <v>79.5</v>
      </c>
      <c r="I29" s="3" t="n">
        <v>32.252829729400787</v>
      </c>
      <c r="J29" s="3" t="n">
        <v>2.89</v>
      </c>
      <c r="K29" s="3" t="n">
        <v>2.1800000000000002</v>
      </c>
      <c r="L29" s="3" t="n">
        <v>6.08</v>
      </c>
      <c r="M29" s="3" t="n">
        <v>1.36</v>
      </c>
      <c r="N29" s="3" t="n">
        <v>87.8</v>
      </c>
      <c r="O29" s="1"/>
      <c r="P29" s="1"/>
      <c r="Q29" s="1"/>
      <c r="R29" s="1"/>
      <c r="S29" t="n">
        <v>87.8</v>
      </c>
      <c r="T29" s="6" t="n">
        <v>201</v>
      </c>
      <c r="U29" s="6" t="n">
        <v>65</v>
      </c>
      <c r="V29" s="6" t="n">
        <v>91</v>
      </c>
      <c r="W29" s="6" t="n">
        <v>16</v>
      </c>
      <c r="X29" s="5" t="n">
        <v>6</v>
      </c>
      <c r="Y29" s="3" t="n">
        <v>1.73</v>
      </c>
      <c r="Z29" s="3" t="n">
        <v>22.09</v>
      </c>
      <c r="AA29" s="5" t="n">
        <v>69.2</v>
      </c>
      <c r="AB29" s="6" t="n">
        <v>47</v>
      </c>
      <c r="AC29" s="3" t="n">
        <v>1.25</v>
      </c>
      <c r="AD29" s="6" t="n">
        <v>159</v>
      </c>
      <c r="AE29" s="3" t="n">
        <v>10.880503144654089</v>
      </c>
      <c r="AF29" s="3" t="n">
        <v>27.8</v>
      </c>
      <c r="AG29" s="3" t="n">
        <v>1.56</v>
      </c>
      <c r="AH29" s="6" t="n">
        <v>148</v>
      </c>
      <c r="AI29" s="6" t="n">
        <v>102</v>
      </c>
      <c r="AJ29" s="6" t="n">
        <v>194</v>
      </c>
      <c r="AK29" s="6" t="n">
        <v>91</v>
      </c>
      <c r="AL29" s="6" t="n">
        <v>86</v>
      </c>
      <c r="AM29" s="6" t="n">
        <v>17</v>
      </c>
      <c r="AN29" s="3" t="n">
        <v>1.98</v>
      </c>
      <c r="AO29" s="3" t="n">
        <v>24.91</v>
      </c>
      <c r="AP29" s="5" t="n">
        <v>76.900000000000006</v>
      </c>
      <c r="AQ29" s="6" t="n">
        <v>45</v>
      </c>
      <c r="AR29" s="3" t="n">
        <v>1.29</v>
      </c>
      <c r="AS29" s="6" t="n">
        <v>164</v>
      </c>
      <c r="AT29" s="3" t="n">
        <v>24.4</v>
      </c>
      <c r="AU29" s="3" t="n">
        <v>1.36</v>
      </c>
      <c r="AV29" s="3" t="n">
        <v>12.073170731707316</v>
      </c>
      <c r="AW29" s="5" t="n">
        <v>7</v>
      </c>
      <c r="AX29" s="5" t="n">
        <v>7.9</v>
      </c>
      <c r="AY29" s="3" t="n">
        <v>40.917000000000002</v>
      </c>
      <c r="AZ29" s="3" t="n">
        <v>34.697000000000003</v>
      </c>
      <c r="BA29" s="3" t="n">
        <v>44.312899106002554</v>
      </c>
      <c r="BB29" s="3" t="n">
        <v>35.707999999999998</v>
      </c>
      <c r="BC29" s="3" t="n">
        <v>44.915723270440253</v>
      </c>
      <c r="BD29" s="3" t="n">
        <v>41.110999999999997</v>
      </c>
      <c r="BE29" s="6" t="n">
        <v>13584</v>
      </c>
      <c r="BF29" s="6" t="n">
        <v>13406</v>
      </c>
      <c r="BG29" s="10" t="n">
        <v>133</v>
      </c>
      <c r="BH29" s="10" t="n">
        <v>69</v>
      </c>
      <c r="BI29" s="10" t="n">
        <v>9.17</v>
      </c>
      <c r="BJ29" s="9" t="n">
        <v>20</v>
      </c>
      <c r="BK29" s="10" t="n">
        <v>130</v>
      </c>
      <c r="BL29" s="10" t="n">
        <v>71</v>
      </c>
      <c r="BM29" s="10" t="n">
        <v>9.2100000000000009</v>
      </c>
      <c r="BN29" s="9" t="n">
        <v>41</v>
      </c>
      <c r="BQ29" s="3" t="n">
        <v>0</v>
      </c>
      <c r="BR29" s="3" t="n">
        <v>130</v>
      </c>
      <c r="BS29" s="12" t="n">
        <v>3734.7179999999998</v>
      </c>
      <c r="BT29" s="12" t="n">
        <v>3927.8710000000001</v>
      </c>
      <c r="BU29" s="12" t="n">
        <v>2197.3319999999999</v>
      </c>
      <c r="BV29" s="12" t="n">
        <v>2424.4920000000002</v>
      </c>
      <c r="BW29" s="12" t="n">
        <v>2988.857</v>
      </c>
      <c r="BX29" s="12" t="n">
        <v>2836.7089999999998</v>
      </c>
      <c r="BY29" s="5" t="n">
        <v>51.485149999999997</v>
      </c>
      <c r="BZ29" s="5" t="n">
        <v>27.419350000000001</v>
      </c>
      <c r="CA29" s="5" t="n">
        <v>48.514850000000003</v>
      </c>
      <c r="CB29" s="5" t="n">
        <v>72.580650000000006</v>
      </c>
      <c r="CC29" s="3" t="n">
        <v>3.7019230769230802</v>
      </c>
      <c r="CD29" s="3" t="n">
        <v>3.4369747899159662</v>
      </c>
      <c r="CE29" s="3" t="n">
        <v>2.4183673469387754</v>
      </c>
      <c r="CF29" s="3" t="n">
        <v>2.2666666666666666</v>
      </c>
      <c r="CG29" s="3" t="n">
        <v>3.0792079207920793</v>
      </c>
      <c r="CH29" s="3" t="n">
        <v>2.5875576036866361</v>
      </c>
      <c r="CI29" s="3" t="n">
        <v>0.99121886672294202</v>
      </c>
      <c r="CJ29" s="3" t="n">
        <v>0.87502233553345454</v>
      </c>
      <c r="CK29" s="3" t="n">
        <v>1.1005927569684164</v>
      </c>
      <c r="CL29" s="3" t="n">
        <v>0.9349037186066449</v>
      </c>
      <c r="CM29" s="3" t="n">
        <v>1.0302291220292026</v>
      </c>
      <c r="CN29" s="3" t="n">
        <v>0.91216889983821514</v>
      </c>
      <c r="CO29" s="13" t="n">
        <v>0.88</v>
      </c>
      <c r="CP29" s="13" t="n">
        <v>1.1100000000000001</v>
      </c>
      <c r="CQ29" s="13" t="n">
        <v>0.63</v>
      </c>
      <c r="CR29" s="13" t="n">
        <v>0.83</v>
      </c>
      <c r="CS29" s="6"/>
    </row>
    <row r="30">
      <c r="A30" s="6" t="n">
        <v>53</v>
      </c>
      <c r="B30" s="6" t="n">
        <v>1</v>
      </c>
      <c r="C30" s="3" t="n">
        <v>47.76</v>
      </c>
      <c r="D30" s="5" t="n">
        <v>161.80000000000001</v>
      </c>
      <c r="E30" s="5" t="n">
        <v>63.2</v>
      </c>
      <c r="F30" s="3" t="n">
        <v>24.141266133012262</v>
      </c>
      <c r="G30" s="6" t="n">
        <v>162.19999999999999</v>
      </c>
      <c r="H30" s="6" t="n">
        <v>63.8</v>
      </c>
      <c r="I30" s="3" t="n">
        <v>24.250404046700655</v>
      </c>
      <c r="J30" s="3" t="n">
        <v>3.13</v>
      </c>
      <c r="K30" s="3" t="n">
        <v>2.71</v>
      </c>
      <c r="L30" s="3" t="n">
        <v>7.44</v>
      </c>
      <c r="M30" s="3" t="n">
        <v>1.76</v>
      </c>
      <c r="N30" s="3" t="n">
        <v>116.73</v>
      </c>
      <c r="O30" s="1"/>
      <c r="P30" s="1"/>
      <c r="Q30" s="1"/>
      <c r="R30" s="1"/>
      <c r="S30" t="n">
        <v>116.86</v>
      </c>
      <c r="T30" s="1"/>
      <c r="U30" s="1"/>
      <c r="V30" s="6" t="n">
        <v>96</v>
      </c>
      <c r="W30" s="6" t="n">
        <v>18</v>
      </c>
      <c r="X30" s="5" t="n">
        <v>11.5</v>
      </c>
      <c r="Y30" s="3" t="n">
        <v>2.19</v>
      </c>
      <c r="Z30" s="3" t="n">
        <v>34.65</v>
      </c>
      <c r="AA30" s="5" t="n">
        <v>84.4</v>
      </c>
      <c r="AB30" s="6" t="n">
        <v>45</v>
      </c>
      <c r="AC30" s="3" t="n">
        <v>1.2</v>
      </c>
      <c r="AD30" s="6" t="n">
        <v>169</v>
      </c>
      <c r="AE30" s="3" t="n">
        <v>12.958579881656805</v>
      </c>
      <c r="AF30" s="3" t="n">
        <v>28.2</v>
      </c>
      <c r="AG30" s="3" t="n">
        <v>1.93</v>
      </c>
      <c r="AH30" s="6" t="n">
        <v>127</v>
      </c>
      <c r="AI30" s="6" t="n">
        <v>87</v>
      </c>
      <c r="AJ30" s="6" t="n">
        <v>212</v>
      </c>
      <c r="AK30" s="6" t="n">
        <v>83</v>
      </c>
      <c r="AL30" s="6" t="n">
        <v>93</v>
      </c>
      <c r="AM30" s="6" t="n">
        <v>18</v>
      </c>
      <c r="AN30" s="3" t="n">
        <v>2.2999999999999998</v>
      </c>
      <c r="AO30" s="3" t="n">
        <v>36.049999999999997</v>
      </c>
      <c r="AP30" s="5" t="n">
        <v>107.6</v>
      </c>
      <c r="AQ30" s="6" t="n">
        <v>47</v>
      </c>
      <c r="AR30" s="3" t="n">
        <v>1.24</v>
      </c>
      <c r="AS30" s="6" t="n">
        <v>173</v>
      </c>
      <c r="AT30" s="3" t="n">
        <v>31.3</v>
      </c>
      <c r="AU30" s="3" t="n">
        <v>1.79</v>
      </c>
      <c r="AV30" s="3" t="n">
        <v>13.294797687861271</v>
      </c>
      <c r="AW30" s="5" t="n">
        <v>11.6</v>
      </c>
      <c r="AX30" s="5" t="n">
        <v>12</v>
      </c>
      <c r="AY30" s="3" t="n">
        <v>37.298000000000002</v>
      </c>
      <c r="AZ30" s="3" t="n">
        <v>23.478999999999999</v>
      </c>
      <c r="BA30" s="3" t="n">
        <v>37.150316455696199</v>
      </c>
      <c r="BB30" s="3" t="n">
        <v>24.164999999999999</v>
      </c>
      <c r="BC30" s="3" t="n">
        <v>37.876175548589345</v>
      </c>
      <c r="BD30" s="3" t="n">
        <v>37.231000000000002</v>
      </c>
      <c r="BE30" s="6" t="n">
        <v>13305</v>
      </c>
      <c r="BF30" s="6" t="n">
        <v>13074</v>
      </c>
      <c r="BG30" s="10" t="n">
        <v>135</v>
      </c>
      <c r="BH30" s="10" t="n">
        <v>85</v>
      </c>
      <c r="BI30" s="10" t="n">
        <v>11.54</v>
      </c>
      <c r="BJ30" s="9" t="n">
        <v>30</v>
      </c>
      <c r="BK30" s="10" t="n">
        <v>123</v>
      </c>
      <c r="BL30" s="10" t="n">
        <v>92</v>
      </c>
      <c r="BM30" s="10" t="n">
        <v>11.29</v>
      </c>
      <c r="BN30" s="9" t="n">
        <v>37</v>
      </c>
      <c r="BO30" s="5" t="n">
        <v>504.57368488951323</v>
      </c>
      <c r="BP30" s="5" t="n">
        <v>543.2854997728731</v>
      </c>
      <c r="BQ30" s="3" t="n">
        <v>90</v>
      </c>
      <c r="BR30" s="3" t="n">
        <v>135</v>
      </c>
      <c r="BS30" s="12" t="n">
        <v>2586.3359999999998</v>
      </c>
      <c r="BT30" s="12" t="n">
        <v>3012.1219999999998</v>
      </c>
      <c r="BU30" s="12" t="n">
        <v>2409.5700000000002</v>
      </c>
      <c r="BV30" s="12" t="n">
        <v>2344.134</v>
      </c>
      <c r="BW30" s="12" t="n">
        <v>2530.8200000000002</v>
      </c>
      <c r="BX30" s="12" t="n">
        <v>2611.3290000000002</v>
      </c>
      <c r="BY30" s="5" t="n">
        <v>68.592960000000005</v>
      </c>
      <c r="BZ30" s="5" t="n">
        <v>40</v>
      </c>
      <c r="CA30" s="5" t="n">
        <v>31.407039999999999</v>
      </c>
      <c r="CB30" s="5" t="n">
        <v>60</v>
      </c>
      <c r="CC30" s="3" t="n">
        <v>3.2490842490842491</v>
      </c>
      <c r="CD30" s="3" t="n">
        <v>3.6851851851851851</v>
      </c>
      <c r="CE30" s="3" t="n">
        <v>3.2080000000000002</v>
      </c>
      <c r="CF30" s="3" t="n">
        <v>2.7572016460905351</v>
      </c>
      <c r="CG30" s="3" t="n">
        <v>3.2361809045226129</v>
      </c>
      <c r="CH30" s="3" t="n">
        <v>3.1283950617283951</v>
      </c>
      <c r="CI30" s="3" t="n">
        <v>1.2562496348006547</v>
      </c>
      <c r="CJ30" s="3" t="n">
        <v>1.2234514619097339</v>
      </c>
      <c r="CK30" s="3" t="n">
        <v>1.3313576340187836</v>
      </c>
      <c r="CL30" s="3" t="n">
        <v>1.1762133290039321</v>
      </c>
      <c r="CM30" s="3" t="n">
        <v>1.2787086954679217</v>
      </c>
      <c r="CN30" s="3" t="n">
        <v>1.1980086694223575</v>
      </c>
      <c r="CO30" s="3" t="n">
        <v>0.96878620319185604</v>
      </c>
      <c r="CP30" s="3" t="n">
        <v>0.85439154538069895</v>
      </c>
      <c r="CQ30" s="3" t="n">
        <v>1.034361232964381</v>
      </c>
      <c r="CR30" s="3" t="n">
        <v>1.0634568030257128</v>
      </c>
      <c r="CS30" s="6"/>
    </row>
    <row r="31">
      <c r="A31" s="6" t="n">
        <v>55</v>
      </c>
      <c r="B31" s="6" t="n">
        <v>1</v>
      </c>
      <c r="C31" s="3" t="n">
        <v>66.86</v>
      </c>
      <c r="D31" s="5" t="n">
        <v>163</v>
      </c>
      <c r="E31" s="5" t="n">
        <v>67.900000000000006</v>
      </c>
      <c r="F31" s="3" t="n">
        <v>25.556099213368967</v>
      </c>
      <c r="G31" s="6" t="n">
        <v>165.3</v>
      </c>
      <c r="H31" s="6" t="n">
        <v>66.599999999999994</v>
      </c>
      <c r="I31" s="3" t="n">
        <v>24.374096264505056</v>
      </c>
      <c r="J31" s="1"/>
      <c r="K31" s="1"/>
      <c r="L31" s="1"/>
      <c r="M31" s="1"/>
      <c r="N31" s="3" t="n">
        <v>98.02</v>
      </c>
      <c r="O31" s="1"/>
      <c r="P31" s="1"/>
      <c r="Q31" s="1"/>
      <c r="R31" s="1"/>
      <c r="S31" t="n">
        <v>98.17</v>
      </c>
      <c r="T31" s="1"/>
      <c r="U31" s="1"/>
      <c r="V31" s="1"/>
      <c r="W31" s="6" t="n">
        <v>16</v>
      </c>
      <c r="X31" s="5" t="n">
        <v>9.5</v>
      </c>
      <c r="Y31" s="3" t="n">
        <v>1.95</v>
      </c>
      <c r="Z31" s="3" t="n">
        <v>28.72</v>
      </c>
      <c r="AA31" s="5" t="n">
        <v>50.9</v>
      </c>
      <c r="AB31" s="6" t="n">
        <v>29</v>
      </c>
      <c r="AC31" s="3" t="n">
        <v>1.04</v>
      </c>
      <c r="AD31" s="6" t="n">
        <v>164</v>
      </c>
      <c r="AE31" s="3" t="n">
        <v>11.890243902439025</v>
      </c>
      <c r="AF31" s="3" t="n">
        <v>19.100000000000001</v>
      </c>
      <c r="AG31" s="3" t="n">
        <v>1.72</v>
      </c>
      <c r="AH31" s="6" t="n">
        <v>159</v>
      </c>
      <c r="AI31" s="6" t="n">
        <v>79</v>
      </c>
      <c r="AJ31" s="1"/>
      <c r="AK31" s="1"/>
      <c r="AL31" s="1"/>
      <c r="AM31" s="6" t="n">
        <v>17</v>
      </c>
      <c r="AN31" s="3" t="n">
        <v>2.25</v>
      </c>
      <c r="AO31" s="3" t="n">
        <v>33.78</v>
      </c>
      <c r="AP31" s="5" t="n">
        <v>74.5</v>
      </c>
      <c r="AQ31" s="6" t="n">
        <v>38</v>
      </c>
      <c r="AR31" s="3" t="n">
        <v>1.22</v>
      </c>
      <c r="AS31" s="6" t="n">
        <v>168</v>
      </c>
      <c r="AT31" s="3" t="n">
        <v>24.5</v>
      </c>
      <c r="AU31" s="3" t="n">
        <v>1.82</v>
      </c>
      <c r="AV31" s="3" t="n">
        <v>13.392857142857142</v>
      </c>
      <c r="AW31" s="5" t="n">
        <v>6.6</v>
      </c>
      <c r="AX31" s="5" t="n">
        <v>9.4</v>
      </c>
      <c r="AY31" s="3" t="n">
        <v>43.652000000000001</v>
      </c>
      <c r="AZ31" s="3" t="n">
        <v>21.96</v>
      </c>
      <c r="BA31" s="3" t="n">
        <v>32.341678939617083</v>
      </c>
      <c r="BB31" s="3" t="n">
        <v>20.716999999999999</v>
      </c>
      <c r="BC31" s="3" t="n">
        <v>31.106606606606608</v>
      </c>
      <c r="BD31" s="3" t="n">
        <v>43.585999999999999</v>
      </c>
      <c r="BE31" s="6" t="n">
        <v>13963</v>
      </c>
      <c r="BF31" s="6" t="n">
        <v>14036</v>
      </c>
      <c r="BG31" s="10" t="n">
        <v>156</v>
      </c>
      <c r="BH31" s="10" t="n">
        <v>74</v>
      </c>
      <c r="BI31" s="10" t="n">
        <v>11.62</v>
      </c>
      <c r="BJ31" s="9" t="n">
        <v>12</v>
      </c>
      <c r="BK31" s="10" t="n">
        <v>143</v>
      </c>
      <c r="BL31" s="10" t="n">
        <v>67</v>
      </c>
      <c r="BM31" s="10" t="n">
        <v>9.61</v>
      </c>
      <c r="BN31" s="9" t="n">
        <v>40</v>
      </c>
      <c r="BO31" s="5" t="n">
        <v>597.99192110148203</v>
      </c>
      <c r="BP31" s="5" t="n">
        <v>599.2527952038962</v>
      </c>
      <c r="BQ31" s="3" t="n">
        <v>840</v>
      </c>
      <c r="BR31" s="3" t="n">
        <v>460</v>
      </c>
      <c r="BS31" s="12" t="n">
        <v>3671.902</v>
      </c>
      <c r="BT31" s="12" t="n">
        <v>4601.4409999999998</v>
      </c>
      <c r="BU31" s="12" t="n">
        <v>2975.5140000000001</v>
      </c>
      <c r="BV31" s="12" t="n">
        <v>2656.5630000000001</v>
      </c>
      <c r="BW31" s="12" t="n">
        <v>3222.3719999999998</v>
      </c>
      <c r="BX31" s="12" t="n">
        <v>3472.317</v>
      </c>
      <c r="BY31" s="5" t="n">
        <v>35.448279999999997</v>
      </c>
      <c r="BZ31" s="5" t="n">
        <v>41.943730000000002</v>
      </c>
      <c r="CA31" s="5" t="n">
        <v>64.551720000000003</v>
      </c>
      <c r="CB31" s="5" t="n">
        <v>58.056269999999998</v>
      </c>
      <c r="CC31" s="3" t="n">
        <v>3.6420233463035019</v>
      </c>
      <c r="CD31" s="3" t="n">
        <v>4.2378048780487809</v>
      </c>
      <c r="CE31" s="3" t="n">
        <v>2.5064102564102564</v>
      </c>
      <c r="CF31" s="3" t="n">
        <v>2.607929515418502</v>
      </c>
      <c r="CG31" s="3" t="n">
        <v>2.9089655172413793</v>
      </c>
      <c r="CH31" s="3" t="n">
        <v>3.2915601023017902</v>
      </c>
      <c r="CI31" s="3" t="n">
        <v>0.99186294081830484</v>
      </c>
      <c r="CJ31" s="3" t="n">
        <v>0.92097345436470546</v>
      </c>
      <c r="CK31" s="3" t="n">
        <v>0.84234521834801657</v>
      </c>
      <c r="CL31" s="3" t="n">
        <v>0.98169307739708123</v>
      </c>
      <c r="CM31" s="3" t="n">
        <v>0.90274052891100987</v>
      </c>
      <c r="CN31" s="3" t="n">
        <v>0.94794332547812332</v>
      </c>
      <c r="CO31" s="3" t="n">
        <v>0.97252139474262322</v>
      </c>
      <c r="CP31" s="3" t="n">
        <v>1.1717734723956492</v>
      </c>
      <c r="CQ31" s="3" t="n">
        <v>1.7042073414614476</v>
      </c>
      <c r="CR31" s="3" t="n">
        <v>1.6662079467976225</v>
      </c>
      <c r="CS31" s="6"/>
    </row>
    <row r="32">
      <c r="A32" s="6" t="n">
        <v>56</v>
      </c>
      <c r="B32" s="6" t="n">
        <v>2</v>
      </c>
      <c r="C32" s="3" t="n">
        <v>61.53</v>
      </c>
      <c r="D32" s="5" t="n">
        <v>168.8</v>
      </c>
      <c r="E32" s="5" t="n">
        <v>107.8</v>
      </c>
      <c r="F32" s="3" t="n">
        <v>37.833269692953877</v>
      </c>
      <c r="G32" s="6" t="n">
        <v>169.5</v>
      </c>
      <c r="H32" s="6" t="n">
        <v>101.2</v>
      </c>
      <c r="I32" s="3" t="n">
        <v>35.224197492190285</v>
      </c>
      <c r="J32" s="3" t="n">
        <v>2.76</v>
      </c>
      <c r="K32" s="3" t="n">
        <v>2.2599999999999998</v>
      </c>
      <c r="L32" s="3" t="n">
        <v>5.97</v>
      </c>
      <c r="M32" s="3" t="n">
        <v>1.58</v>
      </c>
      <c r="N32" s="3" t="n">
        <v>104.25</v>
      </c>
      <c r="O32" s="1"/>
      <c r="P32" s="1"/>
      <c r="Q32" s="1"/>
      <c r="R32" s="1"/>
      <c r="S32" t="n">
        <v>102.22</v>
      </c>
      <c r="T32" s="1"/>
      <c r="U32" s="1"/>
      <c r="V32" s="6" t="n">
        <v>94</v>
      </c>
      <c r="W32" s="1"/>
      <c r="X32" s="5" t="n">
        <v>5.5</v>
      </c>
      <c r="Y32" s="3" t="n">
        <v>2.64</v>
      </c>
      <c r="Z32" s="3" t="n">
        <v>24.49</v>
      </c>
      <c r="AA32" s="5" t="n">
        <v>92.9</v>
      </c>
      <c r="AB32" s="6" t="n">
        <v>49</v>
      </c>
      <c r="AC32" s="3" t="n">
        <v>1.1399999999999999</v>
      </c>
      <c r="AD32" s="6" t="n">
        <v>169</v>
      </c>
      <c r="AE32" s="3" t="n">
        <v>15.621301775147929</v>
      </c>
      <c r="AF32" s="3" t="n">
        <v>27.2</v>
      </c>
      <c r="AG32" s="3" t="n">
        <v>2.27</v>
      </c>
      <c r="AH32" s="6" t="n">
        <v>177</v>
      </c>
      <c r="AI32" s="6" t="n">
        <v>88</v>
      </c>
      <c r="AJ32" s="6" t="n">
        <v>217</v>
      </c>
      <c r="AK32" s="6" t="n">
        <v>81</v>
      </c>
      <c r="AL32" s="6" t="n">
        <v>89</v>
      </c>
      <c r="AM32" s="6" t="n">
        <v>16</v>
      </c>
      <c r="AN32" s="3" t="n">
        <v>1.99</v>
      </c>
      <c r="AO32" s="3" t="n">
        <v>19.66</v>
      </c>
      <c r="AP32" s="5" t="n">
        <v>83</v>
      </c>
      <c r="AQ32" s="6" t="n">
        <v>52</v>
      </c>
      <c r="AR32" s="3" t="n">
        <v>1.22</v>
      </c>
      <c r="AS32" s="6" t="n">
        <v>166</v>
      </c>
      <c r="AT32" s="3" t="n">
        <v>29.5</v>
      </c>
      <c r="AU32" s="3" t="n">
        <v>1.62</v>
      </c>
      <c r="AV32" s="3" t="n">
        <v>11.987951807228916</v>
      </c>
      <c r="AW32" s="5" t="n">
        <v>8.6</v>
      </c>
      <c r="AX32" s="5" t="n">
        <v>8.1</v>
      </c>
      <c r="AY32" s="3" t="n">
        <v>50.625</v>
      </c>
      <c r="AZ32" s="3" t="n">
        <v>52.996000000000002</v>
      </c>
      <c r="BA32" s="3" t="n">
        <v>49.161410018552878</v>
      </c>
      <c r="BB32" s="3" t="n">
        <v>48.462000000000003</v>
      </c>
      <c r="BC32" s="3" t="n">
        <v>47.887351778656125</v>
      </c>
      <c r="BD32" s="3" t="n">
        <v>49.835000000000001</v>
      </c>
      <c r="BE32" s="6" t="n">
        <v>20639</v>
      </c>
      <c r="BF32" s="6" t="n">
        <v>19084</v>
      </c>
      <c r="BG32" s="10" t="n">
        <v>134</v>
      </c>
      <c r="BH32" s="10" t="n">
        <v>84</v>
      </c>
      <c r="BI32" s="10" t="n">
        <v>11.2</v>
      </c>
      <c r="BJ32" s="9" t="n">
        <v>30</v>
      </c>
      <c r="BK32" s="10" t="n">
        <v>147</v>
      </c>
      <c r="BL32" s="10" t="n">
        <v>68</v>
      </c>
      <c r="BM32" s="10" t="n">
        <v>10.07</v>
      </c>
      <c r="BN32" s="9" t="n">
        <v>28</v>
      </c>
      <c r="BQ32" s="3" t="n">
        <v>0</v>
      </c>
      <c r="BR32" s="3" t="n">
        <v>0</v>
      </c>
      <c r="BS32" s="12" t="n">
        <v>4587.0730000000003</v>
      </c>
      <c r="BT32" s="12" t="n">
        <v>4993.6980000000003</v>
      </c>
      <c r="BU32" s="12" t="n">
        <v>3826.6619999999998</v>
      </c>
      <c r="BV32" s="12" t="n">
        <v>3509.2130000000002</v>
      </c>
      <c r="BW32" s="12" t="n">
        <v>4109.3789999999999</v>
      </c>
      <c r="BX32" s="12" t="n">
        <v>4172.8280000000004</v>
      </c>
      <c r="BY32" s="5" t="n">
        <v>37.179490000000001</v>
      </c>
      <c r="BZ32" s="5" t="n">
        <v>44.703389999999999</v>
      </c>
      <c r="CA32" s="5" t="n">
        <v>62.820509999999999</v>
      </c>
      <c r="CB32" s="5" t="n">
        <v>55.296610000000001</v>
      </c>
      <c r="CC32" s="3" t="n">
        <v>3.6482758620689655</v>
      </c>
      <c r="CD32" s="3" t="n">
        <v>2.7867298578199051</v>
      </c>
      <c r="CE32" s="3" t="n">
        <v>2.7102040816326531</v>
      </c>
      <c r="CF32" s="3" t="n">
        <v>1.8735632183908046</v>
      </c>
      <c r="CG32" s="3" t="n">
        <v>3.0589743589743588</v>
      </c>
      <c r="CH32" s="3" t="n">
        <v>2.281779661016949</v>
      </c>
      <c r="CI32" s="3" t="n">
        <v>0.79533850448697219</v>
      </c>
      <c r="CJ32" s="3" t="n">
        <v>0.55804932529653695</v>
      </c>
      <c r="CK32" s="3" t="n">
        <v>0.70824231899552115</v>
      </c>
      <c r="CL32" s="3" t="n">
        <v>0.53389841403510829</v>
      </c>
      <c r="CM32" s="3" t="n">
        <v>0.744388464220331</v>
      </c>
      <c r="CN32" s="3" t="n">
        <v>0.54681851077126464</v>
      </c>
      <c r="CO32" s="13" t="n">
        <v>0.54</v>
      </c>
      <c r="CP32" s="13" t="n">
        <v>0.57999999999999996</v>
      </c>
      <c r="CQ32" s="13" t="n">
        <v>1.54</v>
      </c>
      <c r="CR32" s="13" t="n">
        <v>1.1499999999999999</v>
      </c>
      <c r="CS32" s="6"/>
    </row>
    <row r="33">
      <c r="A33" s="6" t="n">
        <v>57</v>
      </c>
      <c r="B33" s="6" t="n">
        <v>2</v>
      </c>
      <c r="C33" s="3" t="n">
        <v>64.61</v>
      </c>
      <c r="D33" s="5" t="n">
        <v>164.5</v>
      </c>
      <c r="E33" s="5" t="n">
        <v>70</v>
      </c>
      <c r="F33" s="3" t="n">
        <v>25.86820151328979</v>
      </c>
      <c r="G33" s="6" t="n">
        <v>164</v>
      </c>
      <c r="H33" s="6" t="n">
        <v>70.599999999999994</v>
      </c>
      <c r="I33" s="3" t="n">
        <v>26.249256395002977</v>
      </c>
      <c r="J33" s="3" t="n">
        <v>2.9</v>
      </c>
      <c r="K33" s="3" t="n">
        <v>2.2599999999999998</v>
      </c>
      <c r="L33" s="3" t="n">
        <v>6.82</v>
      </c>
      <c r="M33" s="3" t="n">
        <v>1.49</v>
      </c>
      <c r="N33" s="3" t="n">
        <v>96.47</v>
      </c>
      <c r="O33" s="1"/>
      <c r="P33" s="1"/>
      <c r="Q33" s="1"/>
      <c r="R33" s="1"/>
      <c r="S33" t="n">
        <v>94.76</v>
      </c>
      <c r="T33" s="6" t="n">
        <v>193</v>
      </c>
      <c r="U33" s="6" t="n">
        <v>63</v>
      </c>
      <c r="V33" s="6" t="n">
        <v>96</v>
      </c>
      <c r="W33" s="6" t="n">
        <v>17</v>
      </c>
      <c r="X33" s="5" t="n">
        <v>9</v>
      </c>
      <c r="Y33" s="3" t="n">
        <v>2.1800000000000002</v>
      </c>
      <c r="Z33" s="3" t="n">
        <v>31.14</v>
      </c>
      <c r="AA33" s="5" t="n">
        <v>64.7</v>
      </c>
      <c r="AB33" s="6" t="n">
        <v>38</v>
      </c>
      <c r="AC33" s="3" t="n">
        <v>1.17</v>
      </c>
      <c r="AD33" s="6" t="n">
        <v>171</v>
      </c>
      <c r="AE33" s="3" t="n">
        <v>12.748538011695906</v>
      </c>
      <c r="AF33" s="3" t="n">
        <v>21</v>
      </c>
      <c r="AG33" s="3" t="n">
        <v>2.0699999999999998</v>
      </c>
      <c r="AH33" s="6" t="n">
        <v>134</v>
      </c>
      <c r="AI33" s="6" t="n">
        <v>86</v>
      </c>
      <c r="AJ33" s="6" t="n">
        <v>209</v>
      </c>
      <c r="AK33" s="6" t="n">
        <v>57</v>
      </c>
      <c r="AL33" s="6" t="n">
        <v>94</v>
      </c>
      <c r="AM33" s="6" t="n">
        <v>17</v>
      </c>
      <c r="AN33" s="3" t="n">
        <v>2.21</v>
      </c>
      <c r="AO33" s="3" t="n">
        <v>31.3</v>
      </c>
      <c r="AP33" s="5" t="n">
        <v>64.2</v>
      </c>
      <c r="AQ33" s="6" t="n">
        <v>38</v>
      </c>
      <c r="AR33" s="3" t="n">
        <v>1.1299999999999999</v>
      </c>
      <c r="AS33" s="6" t="n">
        <v>170</v>
      </c>
      <c r="AT33" s="3" t="n">
        <v>23.5</v>
      </c>
      <c r="AU33" s="3" t="n">
        <v>1.92</v>
      </c>
      <c r="AV33" s="3" t="n">
        <v>13</v>
      </c>
      <c r="AW33" s="5" t="n">
        <v>9</v>
      </c>
      <c r="AX33" s="5" t="n">
        <v>6.6</v>
      </c>
      <c r="AY33" s="3" t="n">
        <v>42.353000000000002</v>
      </c>
      <c r="AZ33" s="3" t="n">
        <v>25.719000000000001</v>
      </c>
      <c r="BA33" s="3" t="n">
        <v>36.741428571428578</v>
      </c>
      <c r="BB33" s="3" t="n">
        <v>26.047999999999998</v>
      </c>
      <c r="BC33" s="3" t="n">
        <v>36.895184135977338</v>
      </c>
      <c r="BD33" s="3" t="n">
        <v>42.841000000000001</v>
      </c>
      <c r="BE33" s="6" t="n">
        <v>14859</v>
      </c>
      <c r="BF33" s="6" t="n">
        <v>14918</v>
      </c>
      <c r="BG33" s="10" t="n">
        <v>148</v>
      </c>
      <c r="BH33" s="10" t="n">
        <v>75</v>
      </c>
      <c r="BI33" s="10" t="n">
        <v>11.16</v>
      </c>
      <c r="BJ33" s="9" t="n">
        <v>20</v>
      </c>
      <c r="BK33" s="10" t="n">
        <v>143</v>
      </c>
      <c r="BL33" s="10" t="n">
        <v>83</v>
      </c>
      <c r="BM33" s="10" t="n">
        <v>11.96</v>
      </c>
      <c r="BN33" s="9" t="n">
        <v>25</v>
      </c>
      <c r="BO33" s="5" t="n">
        <v>639.74607909638291</v>
      </c>
      <c r="BP33" s="5" t="n">
        <v>640.52732856612135</v>
      </c>
      <c r="BQ33" s="3" t="n">
        <v>0</v>
      </c>
      <c r="BR33" s="3" t="n">
        <v>0</v>
      </c>
      <c r="BS33" s="12" t="n">
        <v>5038.01</v>
      </c>
      <c r="BT33" s="12" t="n">
        <v>5171.3239999999996</v>
      </c>
      <c r="BU33" s="12" t="n">
        <v>3849.7950000000001</v>
      </c>
      <c r="BV33" s="12" t="n">
        <v>4278.8580000000002</v>
      </c>
      <c r="BW33" s="12" t="n">
        <v>4438.049</v>
      </c>
      <c r="BX33" s="12" t="n">
        <v>4700.8190000000004</v>
      </c>
      <c r="BY33" s="5" t="n">
        <v>49.507390000000001</v>
      </c>
      <c r="BZ33" s="5" t="n">
        <v>47.280329999999999</v>
      </c>
      <c r="CA33" s="5" t="n">
        <v>50.492609999999999</v>
      </c>
      <c r="CB33" s="5" t="n">
        <v>52.719670000000001</v>
      </c>
      <c r="CC33" s="3" t="n">
        <v>3.7860696517412937</v>
      </c>
      <c r="CD33" s="3" t="n">
        <v>4.553097345132743</v>
      </c>
      <c r="CE33" s="3" t="n">
        <v>3.0292682926829269</v>
      </c>
      <c r="CF33" s="3" t="n">
        <v>3.8650793650793651</v>
      </c>
      <c r="CG33" s="3" t="n">
        <v>3.4039408866995076</v>
      </c>
      <c r="CH33" s="3" t="n">
        <v>4.1903765690376567</v>
      </c>
      <c r="CI33" s="3" t="n">
        <v>0.75150103443969252</v>
      </c>
      <c r="CJ33" s="3" t="n">
        <v>0.88045102502724337</v>
      </c>
      <c r="CK33" s="3" t="n">
        <v>0.78686474641427262</v>
      </c>
      <c r="CL33" s="3" t="n">
        <v>0.90329700159648996</v>
      </c>
      <c r="CM33" s="3" t="n">
        <v>0.76699031308439058</v>
      </c>
      <c r="CN33" s="3" t="n">
        <v>0.89141420941753235</v>
      </c>
      <c r="CS33" s="6"/>
    </row>
    <row r="34">
      <c r="A34" s="6" t="n">
        <v>59</v>
      </c>
      <c r="B34" s="6" t="n">
        <v>1</v>
      </c>
      <c r="C34" s="3" t="n">
        <v>53.22</v>
      </c>
      <c r="D34" s="5" t="n">
        <v>162.19999999999999</v>
      </c>
      <c r="E34" s="5" t="n">
        <v>66.5</v>
      </c>
      <c r="F34" s="3" t="n">
        <v>25.276675064350997</v>
      </c>
      <c r="G34" s="6" t="n">
        <v>162.30000000000001</v>
      </c>
      <c r="H34" s="6" t="n">
        <v>66</v>
      </c>
      <c r="I34" s="3" t="n">
        <v>25.055720505715545</v>
      </c>
      <c r="J34" s="1"/>
      <c r="K34" s="1"/>
      <c r="L34" s="1"/>
      <c r="M34" s="1"/>
      <c r="N34" s="3" t="n">
        <v>114.66</v>
      </c>
      <c r="O34" s="1"/>
      <c r="P34" s="1"/>
      <c r="Q34" s="1"/>
      <c r="R34" s="1"/>
      <c r="S34" t="n">
        <v>123.23</v>
      </c>
      <c r="T34" s="6" t="n">
        <v>153</v>
      </c>
      <c r="U34" s="6" t="n">
        <v>92</v>
      </c>
      <c r="V34" s="1"/>
      <c r="W34" s="6" t="n">
        <v>18</v>
      </c>
      <c r="X34" s="5" t="n">
        <v>10</v>
      </c>
      <c r="Y34" s="3" t="n">
        <v>1.98</v>
      </c>
      <c r="Z34" s="3" t="n">
        <v>29.77</v>
      </c>
      <c r="AA34" s="5" t="n">
        <v>91.9</v>
      </c>
      <c r="AB34" s="6" t="n">
        <v>39</v>
      </c>
      <c r="AC34" s="3" t="n">
        <v>1.27</v>
      </c>
      <c r="AD34" s="6" t="n">
        <v>192</v>
      </c>
      <c r="AE34" s="3" t="n">
        <v>10.3125</v>
      </c>
      <c r="AF34" s="3" t="n">
        <v>21.5</v>
      </c>
      <c r="AG34" s="3" t="n">
        <v>1.65</v>
      </c>
      <c r="AH34" s="6" t="n">
        <v>114</v>
      </c>
      <c r="AI34" s="6" t="n">
        <v>83</v>
      </c>
      <c r="AJ34" s="6" t="n">
        <v>200</v>
      </c>
      <c r="AK34" s="6" t="n">
        <v>80</v>
      </c>
      <c r="AL34" s="6" t="n">
        <v>98</v>
      </c>
      <c r="AM34" s="6" t="n">
        <v>18</v>
      </c>
      <c r="AN34" s="3" t="n">
        <v>2.1</v>
      </c>
      <c r="AO34" s="3" t="n">
        <v>31.82</v>
      </c>
      <c r="AP34" s="5" t="n">
        <v>87.7</v>
      </c>
      <c r="AQ34" s="6" t="n">
        <v>40</v>
      </c>
      <c r="AR34" s="3" t="n">
        <v>1.3</v>
      </c>
      <c r="AS34" s="6" t="n">
        <v>189</v>
      </c>
      <c r="AT34" s="3" t="n">
        <v>27.5</v>
      </c>
      <c r="AU34" s="3" t="n">
        <v>1.69</v>
      </c>
      <c r="AV34" s="3" t="n">
        <v>11.111111111111111</v>
      </c>
      <c r="AW34" s="5" t="n">
        <v>8.8000000000000007</v>
      </c>
      <c r="AX34" s="5" t="n">
        <v>9.8000000000000007</v>
      </c>
      <c r="AY34" s="3" t="n">
        <v>37.945999999999998</v>
      </c>
      <c r="AZ34" s="3" t="n">
        <v>26.282</v>
      </c>
      <c r="BA34" s="3" t="n">
        <v>39.521804511278198</v>
      </c>
      <c r="BB34" s="3" t="n">
        <v>25.658000000000001</v>
      </c>
      <c r="BC34" s="3" t="n">
        <v>38.875757575757582</v>
      </c>
      <c r="BD34" s="3" t="n">
        <v>38.250999999999998</v>
      </c>
      <c r="BE34" s="6" t="n">
        <v>13531</v>
      </c>
      <c r="BF34" s="6" t="n">
        <v>13646</v>
      </c>
      <c r="BG34" s="10" t="n">
        <v>151</v>
      </c>
      <c r="BH34" s="10" t="n">
        <v>62</v>
      </c>
      <c r="BI34" s="10" t="n">
        <v>9.34</v>
      </c>
      <c r="BJ34" s="9" t="n">
        <v>27</v>
      </c>
      <c r="BK34" s="10" t="n">
        <v>123</v>
      </c>
      <c r="BL34" s="10" t="n">
        <v>82</v>
      </c>
      <c r="BM34" s="10" t="n">
        <v>10.09</v>
      </c>
      <c r="BN34" s="9" t="n">
        <v>70</v>
      </c>
      <c r="BO34" s="5" t="n">
        <v>548.83003454870243</v>
      </c>
      <c r="BP34" s="5" t="n">
        <v>591.49903425891648</v>
      </c>
      <c r="BQ34" s="3" t="n">
        <v>80</v>
      </c>
      <c r="BR34" s="3" t="n">
        <v>780</v>
      </c>
      <c r="BS34" s="12"/>
      <c r="BT34" s="12"/>
      <c r="BU34" s="12"/>
      <c r="BV34" s="12"/>
      <c r="BW34" s="12"/>
      <c r="BX34" s="12"/>
      <c r="CA34" s="5"/>
      <c r="CB34" s="5"/>
      <c r="CK34" s="3"/>
      <c r="CL34" s="3"/>
      <c r="CM34" s="3"/>
      <c r="CN34" s="3"/>
      <c r="CO34" s="3" t="n">
        <v>0.95463386777298265</v>
      </c>
      <c r="CP34" s="3" t="n">
        <v>1.0431708956683543</v>
      </c>
      <c r="CQ34" s="3" t="n">
        <v>0.70520561277825866</v>
      </c>
      <c r="CR34" s="3" t="n">
        <v>0.7650456570821651</v>
      </c>
      <c r="CS34" s="6"/>
    </row>
    <row r="35">
      <c r="A35" s="6" t="n">
        <v>63</v>
      </c>
      <c r="B35" s="6" t="n">
        <v>1</v>
      </c>
      <c r="C35" s="3" t="n">
        <v>56.59</v>
      </c>
      <c r="D35" s="5" t="n">
        <v>177</v>
      </c>
      <c r="E35" s="5" t="n">
        <v>92.4</v>
      </c>
      <c r="F35" s="3" t="n">
        <v>29.493440582208176</v>
      </c>
      <c r="G35" s="6" t="n">
        <v>177.5</v>
      </c>
      <c r="H35" s="6" t="n">
        <v>95</v>
      </c>
      <c r="I35" s="3" t="n">
        <v>30.152747470739936</v>
      </c>
      <c r="J35" s="1"/>
      <c r="K35" s="1"/>
      <c r="L35" s="1"/>
      <c r="M35" s="1"/>
      <c r="N35" s="3" t="n">
        <v>138.05000000000001</v>
      </c>
      <c r="O35" s="1"/>
      <c r="P35" s="1"/>
      <c r="Q35" s="1"/>
      <c r="R35" s="1"/>
      <c r="S35" t="n">
        <v>131.79</v>
      </c>
      <c r="T35" s="6" t="n">
        <v>150</v>
      </c>
      <c r="U35" s="6" t="n">
        <v>76</v>
      </c>
      <c r="V35" s="6" t="n">
        <v>96</v>
      </c>
      <c r="W35" s="6" t="n">
        <v>18</v>
      </c>
      <c r="X35" s="5" t="n">
        <v>9.5</v>
      </c>
      <c r="Y35" s="3" t="n">
        <v>2.29</v>
      </c>
      <c r="Z35" s="3" t="n">
        <v>24.78</v>
      </c>
      <c r="AA35" s="5" t="n">
        <v>93.5</v>
      </c>
      <c r="AB35" s="6" t="n">
        <v>49</v>
      </c>
      <c r="AC35" s="3" t="n">
        <v>1.23</v>
      </c>
      <c r="AD35" s="6" t="n">
        <v>170</v>
      </c>
      <c r="AE35" s="3" t="n">
        <v>13.470588235294118</v>
      </c>
      <c r="AF35" s="3" t="n">
        <v>24.9</v>
      </c>
      <c r="AG35" s="3" t="n">
        <v>2.2000000000000002</v>
      </c>
      <c r="AH35" s="6" t="n">
        <v>153</v>
      </c>
      <c r="AI35" s="6" t="n">
        <v>89</v>
      </c>
      <c r="AJ35" s="6" t="n">
        <v>190</v>
      </c>
      <c r="AK35" s="6" t="n">
        <v>74</v>
      </c>
      <c r="AL35" s="6" t="n">
        <v>96</v>
      </c>
      <c r="AM35" s="6" t="n">
        <v>18</v>
      </c>
      <c r="AN35" s="3" t="n">
        <v>2.2599999999999998</v>
      </c>
      <c r="AO35" s="3" t="n">
        <v>23.79</v>
      </c>
      <c r="AP35" s="5" t="n">
        <v>83.8</v>
      </c>
      <c r="AQ35" s="6" t="n">
        <v>49</v>
      </c>
      <c r="AR35" s="3" t="n">
        <v>1.25</v>
      </c>
      <c r="AS35" s="6" t="n">
        <v>159</v>
      </c>
      <c r="AT35" s="3" t="n">
        <v>25.9</v>
      </c>
      <c r="AU35" s="3" t="n">
        <v>2.1</v>
      </c>
      <c r="AV35" s="3" t="n">
        <v>14.213836477987421</v>
      </c>
      <c r="AW35" s="5" t="n">
        <v>8.6</v>
      </c>
      <c r="AX35" s="5" t="n">
        <v>8.8000000000000007</v>
      </c>
      <c r="AY35" s="3" t="n">
        <v>46.487000000000002</v>
      </c>
      <c r="AZ35" s="3" t="n">
        <v>42.805999999999997</v>
      </c>
      <c r="BA35" s="3" t="n">
        <v>46.326839826839823</v>
      </c>
      <c r="BB35" s="3" t="n">
        <v>43.936</v>
      </c>
      <c r="BC35" s="3" t="n">
        <v>46.248421052631578</v>
      </c>
      <c r="BD35" s="3" t="n">
        <v>48.043999999999997</v>
      </c>
      <c r="BE35" s="6" t="n">
        <v>17034</v>
      </c>
      <c r="BF35" s="6" t="n">
        <v>17082</v>
      </c>
      <c r="BG35" s="10" t="n">
        <v>121</v>
      </c>
      <c r="BH35" s="10" t="n">
        <v>77</v>
      </c>
      <c r="BI35" s="10" t="n">
        <v>9.34</v>
      </c>
      <c r="BJ35" s="9" t="n">
        <v>49</v>
      </c>
      <c r="BK35" s="10" t="n">
        <v>112</v>
      </c>
      <c r="BL35" s="10" t="n">
        <v>90</v>
      </c>
      <c r="BM35" s="10" t="n">
        <v>10.08</v>
      </c>
      <c r="BN35" s="9" t="n">
        <v>50</v>
      </c>
      <c r="BO35" s="5" t="n">
        <v>707.32284331908966</v>
      </c>
      <c r="BP35" s="5" t="n">
        <v>713.03623870509921</v>
      </c>
      <c r="BQ35" s="3" t="n">
        <v>120</v>
      </c>
      <c r="BR35" s="3" t="n">
        <v>130</v>
      </c>
      <c r="BS35" s="12" t="n">
        <v>4227.0209999999997</v>
      </c>
      <c r="BT35" s="12" t="n">
        <v>4293.8119999999999</v>
      </c>
      <c r="BU35" s="12" t="n">
        <v>4166.0309999999999</v>
      </c>
      <c r="BV35" s="12" t="n">
        <v>4408.7730000000001</v>
      </c>
      <c r="BW35" s="12" t="n">
        <v>4192.1450000000004</v>
      </c>
      <c r="BX35" s="12" t="n">
        <v>4348.6170000000002</v>
      </c>
      <c r="BY35" s="5" t="n">
        <v>42.816499999999998</v>
      </c>
      <c r="BZ35" s="5" t="n">
        <v>52.327449999999999</v>
      </c>
      <c r="CA35" s="5" t="n">
        <v>57.183500000000002</v>
      </c>
      <c r="CB35" s="5" t="n">
        <v>47.672550000000001</v>
      </c>
      <c r="CC35" s="3" t="n">
        <v>3.750830564784053</v>
      </c>
      <c r="CD35" s="3" t="n">
        <v>4</v>
      </c>
      <c r="CE35" s="3" t="n">
        <v>3.599502487562189</v>
      </c>
      <c r="CF35" s="3" t="n">
        <v>3.8047138047138045</v>
      </c>
      <c r="CG35" s="3" t="n">
        <v>3.6642958748221908</v>
      </c>
      <c r="CH35" s="3" t="n">
        <v>3.9069020866773676</v>
      </c>
      <c r="CI35" s="3" t="n">
        <v>0.88734600892042981</v>
      </c>
      <c r="CJ35" s="3" t="n">
        <v>0.93157311364747608</v>
      </c>
      <c r="CK35" s="3" t="n">
        <v>0.86401241590737921</v>
      </c>
      <c r="CL35" s="3" t="n">
        <v>0.86298704336760879</v>
      </c>
      <c r="CM35" s="3" t="n">
        <v>0.87408616073320944</v>
      </c>
      <c r="CN35" s="3" t="n">
        <v>0.89842407812643543</v>
      </c>
      <c r="CO35" s="3" t="n">
        <v>0.9156683624492139</v>
      </c>
      <c r="CP35" s="3" t="n">
        <v>0.83590936366824264</v>
      </c>
      <c r="CQ35" s="3" t="n">
        <v>1.1489858609780588</v>
      </c>
      <c r="CR35" s="3" t="n">
        <v>1.0358335088561972</v>
      </c>
      <c r="CS35" s="6"/>
    </row>
    <row r="36">
      <c r="A36" s="6" t="n">
        <v>201</v>
      </c>
      <c r="B36" s="6" t="n">
        <v>0</v>
      </c>
      <c r="C36" s="3" t="n">
        <v>52.44</v>
      </c>
      <c r="D36" s="5" t="n">
        <v>169</v>
      </c>
      <c r="E36" s="5" t="n">
        <v>67.900000000000006</v>
      </c>
      <c r="F36" s="3" t="n">
        <v>23.773677392248175</v>
      </c>
      <c r="G36" s="6" t="n">
        <v>170</v>
      </c>
      <c r="H36" s="6" t="n">
        <v>63.8</v>
      </c>
      <c r="I36" s="3" t="n">
        <v>22.07612456747405</v>
      </c>
      <c r="J36" s="3" t="n">
        <v>3.97</v>
      </c>
      <c r="K36" s="3" t="n">
        <v>3.2</v>
      </c>
      <c r="L36" s="3" t="n">
        <v>7.04</v>
      </c>
      <c r="M36" s="3" t="n">
        <v>1.36</v>
      </c>
      <c r="N36" s="3" t="n">
        <v>134.53</v>
      </c>
      <c r="O36" s="3" t="n">
        <v>3.93</v>
      </c>
      <c r="P36" s="3" t="n">
        <v>3.11</v>
      </c>
      <c r="Q36" s="3" t="n">
        <v>7.62</v>
      </c>
      <c r="R36" s="3" t="n">
        <v>1.39</v>
      </c>
      <c r="S36" t="n">
        <v>136.43</v>
      </c>
      <c r="T36" s="1"/>
      <c r="U36" s="1"/>
      <c r="V36" s="6" t="n">
        <v>94</v>
      </c>
      <c r="W36" s="6" t="n">
        <v>20</v>
      </c>
      <c r="X36" s="5" t="n">
        <v>11.5</v>
      </c>
      <c r="Y36" s="3" t="n">
        <v>2.42</v>
      </c>
      <c r="Z36" s="3" t="n">
        <v>35.700000000000003</v>
      </c>
      <c r="AA36" s="5" t="n">
        <v>93.9</v>
      </c>
      <c r="AB36" s="6" t="n">
        <v>38</v>
      </c>
      <c r="AC36" s="3" t="n">
        <v>1.17</v>
      </c>
      <c r="AD36" s="6" t="n">
        <v>170</v>
      </c>
      <c r="AE36" s="3" t="n">
        <v>14.235294117647058</v>
      </c>
      <c r="AF36" s="3" t="n">
        <v>24.28</v>
      </c>
      <c r="AG36" s="3" t="n">
        <v>2.06</v>
      </c>
      <c r="AH36" s="6" t="n">
        <v>127</v>
      </c>
      <c r="AI36" s="6" t="n">
        <v>93</v>
      </c>
      <c r="AJ36" s="6" t="n">
        <v>204</v>
      </c>
      <c r="AK36" s="6" t="n">
        <v>72</v>
      </c>
      <c r="AL36" s="1"/>
      <c r="AM36" s="1"/>
      <c r="AN36" s="3" t="n">
        <v>2.67</v>
      </c>
      <c r="AO36" s="3" t="n">
        <v>41.85</v>
      </c>
      <c r="AP36" s="5" t="n">
        <v>115.8</v>
      </c>
      <c r="AQ36" s="6" t="n">
        <v>48</v>
      </c>
      <c r="AR36" s="3" t="n">
        <v>1.18</v>
      </c>
      <c r="AS36" s="6" t="n">
        <v>173</v>
      </c>
      <c r="AT36" s="3" t="n">
        <v>27.2</v>
      </c>
      <c r="AU36" s="3" t="n">
        <v>2.1800000000000002</v>
      </c>
      <c r="AV36" s="3" t="n">
        <v>15.433526011560694</v>
      </c>
      <c r="AW36" s="5" t="n">
        <v>10.5</v>
      </c>
      <c r="AX36" s="5" t="n">
        <v>12.6</v>
      </c>
      <c r="AY36" s="3" t="n">
        <v>42.887</v>
      </c>
      <c r="AZ36" s="3" t="n">
        <v>18.891999999999999</v>
      </c>
      <c r="BA36" s="3" t="n">
        <v>27.823269513991161</v>
      </c>
      <c r="BB36" s="1"/>
      <c r="BC36" s="1"/>
      <c r="BD36" s="1"/>
      <c r="BE36" s="6" t="n">
        <v>13989</v>
      </c>
      <c r="BF36" s="1"/>
      <c r="BG36" s="10" t="n">
        <v>150</v>
      </c>
      <c r="BH36" s="10" t="n">
        <v>82.222469999999987</v>
      </c>
      <c r="BI36" s="10" t="n">
        <v>12.333370499999997</v>
      </c>
      <c r="BJ36" s="9" t="n">
        <v>30</v>
      </c>
      <c r="BK36" s="10" t="n">
        <v>128</v>
      </c>
      <c r="BL36" s="10" t="n">
        <v>101.32465999999998</v>
      </c>
      <c r="BM36" s="10" t="n">
        <v>12.969556479999998</v>
      </c>
      <c r="BN36" s="9" t="n">
        <v>25</v>
      </c>
      <c r="BQ36" s="3" t="n">
        <v>60</v>
      </c>
      <c r="BR36" s="3" t="n">
        <v>145</v>
      </c>
      <c r="BS36" s="12" t="n">
        <v>4103.2640000000001</v>
      </c>
      <c r="BT36" s="12" t="n">
        <v>3489.06</v>
      </c>
      <c r="BU36" s="12" t="n">
        <v>3260.991</v>
      </c>
      <c r="BV36" s="12" t="n">
        <v>2313.422</v>
      </c>
      <c r="BW36" s="12" t="n">
        <v>3805.0680000000002</v>
      </c>
      <c r="BX36" s="12" t="n">
        <v>2908.875</v>
      </c>
      <c r="BY36" s="5" t="n">
        <v>64.596270000000004</v>
      </c>
      <c r="BZ36" s="5" t="n">
        <v>50.649349999999998</v>
      </c>
      <c r="CA36" s="5" t="n">
        <v>35.403730000000003</v>
      </c>
      <c r="CB36" s="5" t="n">
        <v>49.350650000000002</v>
      </c>
      <c r="CC36" s="3" t="n">
        <v>4.615384615384615</v>
      </c>
      <c r="CD36" s="3" t="n">
        <v>4.0512820512820511</v>
      </c>
      <c r="CE36" s="3" t="n">
        <v>3.8245614035087718</v>
      </c>
      <c r="CF36" s="3" t="n">
        <v>3.2932330827067671</v>
      </c>
      <c r="CG36" s="3" t="n">
        <v>4.3354037267080745</v>
      </c>
      <c r="CH36" s="3" t="n">
        <v>3.6771799628942485</v>
      </c>
      <c r="CI36" s="3" t="n">
        <v>1.1248081323378007</v>
      </c>
      <c r="CJ36" s="3" t="n">
        <v>1.1611386667490873</v>
      </c>
      <c r="CK36" s="13" t="n">
        <v>1.172822</v>
      </c>
      <c r="CL36" s="13" t="n">
        <v>1.4235329999999999</v>
      </c>
      <c r="CM36" s="3" t="n">
        <v>1.1393761768520778</v>
      </c>
      <c r="CN36" s="3" t="n">
        <v>1.2641244944498602</v>
      </c>
      <c r="CO36" s="3" t="n">
        <v>1.3632951385485552</v>
      </c>
      <c r="CP36" s="3" t="n">
        <v>1.1215418531574752</v>
      </c>
      <c r="CQ36" s="3" t="n">
        <v>1.0876609185782375</v>
      </c>
      <c r="CR36" s="3" t="n">
        <v>1.1040173124004762</v>
      </c>
      <c r="CS36" s="6"/>
    </row>
    <row r="37">
      <c r="A37" s="6" t="n">
        <v>203</v>
      </c>
      <c r="B37" s="6" t="n">
        <v>0</v>
      </c>
      <c r="C37" s="3" t="n">
        <v>54.02</v>
      </c>
      <c r="D37" s="5" t="n">
        <v>172</v>
      </c>
      <c r="E37" s="5" t="n">
        <v>101.9</v>
      </c>
      <c r="F37" s="3" t="n">
        <v>34.444294213088163</v>
      </c>
      <c r="G37" s="6" t="n">
        <v>172</v>
      </c>
      <c r="H37" s="6" t="n">
        <v>98.3</v>
      </c>
      <c r="I37" s="3" t="n">
        <v>33.227420227149814</v>
      </c>
      <c r="J37" s="3" t="n">
        <v>3.68</v>
      </c>
      <c r="K37" s="3" t="n">
        <v>2.93</v>
      </c>
      <c r="L37" s="3" t="n">
        <v>8.7100000000000009</v>
      </c>
      <c r="M37" s="3" t="n">
        <v>1.67</v>
      </c>
      <c r="N37" s="3" t="n">
        <v>109.97</v>
      </c>
      <c r="O37" s="3" t="n">
        <v>3.6</v>
      </c>
      <c r="P37" s="3" t="n">
        <v>2.8</v>
      </c>
      <c r="Q37" s="3" t="n">
        <v>8.41</v>
      </c>
      <c r="R37" s="3" t="n">
        <v>1.65</v>
      </c>
      <c r="S37" t="n">
        <v>110.46</v>
      </c>
      <c r="T37" s="6" t="n">
        <v>197</v>
      </c>
      <c r="U37" s="6" t="n">
        <v>93</v>
      </c>
      <c r="V37" s="6" t="n">
        <v>95</v>
      </c>
      <c r="W37" s="6" t="n">
        <v>19</v>
      </c>
      <c r="X37" s="5" t="n">
        <v>7</v>
      </c>
      <c r="Y37" s="3" t="n">
        <v>2.15</v>
      </c>
      <c r="Z37" s="3" t="n">
        <v>21.1</v>
      </c>
      <c r="AA37" s="5" t="n">
        <v>93.4</v>
      </c>
      <c r="AB37" s="6" t="n">
        <v>49</v>
      </c>
      <c r="AC37" s="3" t="n">
        <v>1.4</v>
      </c>
      <c r="AD37" s="6" t="n">
        <v>171</v>
      </c>
      <c r="AE37" s="3" t="n">
        <v>12.573099415204679</v>
      </c>
      <c r="AF37" s="3" t="n">
        <v>26.71</v>
      </c>
      <c r="AG37" s="3" t="n">
        <v>1.82</v>
      </c>
      <c r="AH37" s="1"/>
      <c r="AI37" s="1"/>
      <c r="AJ37" s="1"/>
      <c r="AK37" s="1"/>
      <c r="AL37" s="1"/>
      <c r="AM37" s="6" t="n">
        <v>19</v>
      </c>
      <c r="AN37" s="3" t="n">
        <v>2.88</v>
      </c>
      <c r="AO37" s="3" t="n">
        <v>29.3</v>
      </c>
      <c r="AP37" s="5" t="n">
        <v>107.7</v>
      </c>
      <c r="AQ37" s="6" t="n">
        <v>53</v>
      </c>
      <c r="AR37" s="3" t="n">
        <v>1.27</v>
      </c>
      <c r="AS37" s="6" t="n">
        <v>174</v>
      </c>
      <c r="AT37" s="3" t="n">
        <v>26.5</v>
      </c>
      <c r="AU37" s="3" t="n">
        <v>2</v>
      </c>
      <c r="AV37" s="3" t="n">
        <v>16.551724137931036</v>
      </c>
      <c r="AW37" s="5" t="n">
        <v>11.4</v>
      </c>
      <c r="AX37" s="5" t="n">
        <v>11.2</v>
      </c>
      <c r="AY37" s="3" t="n">
        <v>48.122</v>
      </c>
      <c r="AZ37" s="3" t="n">
        <v>49.942</v>
      </c>
      <c r="BA37" s="3" t="n">
        <v>49.010794896957798</v>
      </c>
      <c r="BB37" s="3" t="n">
        <v>47.752000000000002</v>
      </c>
      <c r="BC37" s="3" t="n">
        <v>48.577822990844361</v>
      </c>
      <c r="BD37" s="3" t="n">
        <v>47</v>
      </c>
      <c r="BE37" s="6" t="n">
        <v>18854</v>
      </c>
      <c r="BF37" s="6" t="n">
        <v>18665</v>
      </c>
      <c r="BG37" s="10" t="n">
        <v>145</v>
      </c>
      <c r="BH37" s="10" t="n">
        <v>63</v>
      </c>
      <c r="BI37" s="10" t="n">
        <v>9.2100000000000009</v>
      </c>
      <c r="BJ37" s="9" t="n">
        <v>44</v>
      </c>
      <c r="BK37" s="10" t="n">
        <v>145</v>
      </c>
      <c r="BL37" s="10" t="n">
        <v>82</v>
      </c>
      <c r="BM37" s="10" t="n">
        <v>11.88</v>
      </c>
      <c r="BN37" s="9" t="n">
        <v>25</v>
      </c>
      <c r="BO37" s="5" t="n">
        <v>700.10560058469309</v>
      </c>
      <c r="BP37" s="5" t="n">
        <v>727.47190183075304</v>
      </c>
      <c r="BQ37" s="3" t="n">
        <v>0</v>
      </c>
      <c r="BR37" s="3" t="n">
        <v>110</v>
      </c>
      <c r="BS37" s="12" t="n">
        <v>4207.741</v>
      </c>
      <c r="BT37" s="12" t="n">
        <v>3819.65</v>
      </c>
      <c r="BU37" s="12" t="n">
        <v>3497.5169999999998</v>
      </c>
      <c r="BV37" s="12" t="n">
        <v>2988.3739999999998</v>
      </c>
      <c r="BW37" s="12" t="n">
        <v>3823.7869999999998</v>
      </c>
      <c r="BX37" s="12" t="n">
        <v>3514.4690000000001</v>
      </c>
      <c r="BY37" s="5" t="n">
        <v>45.93909</v>
      </c>
      <c r="BZ37" s="5" t="n">
        <v>63.287669999999999</v>
      </c>
      <c r="CA37" s="5" t="n">
        <v>54.06091</v>
      </c>
      <c r="CB37" s="5" t="n">
        <v>36.712330000000001</v>
      </c>
      <c r="CC37" s="3" t="n">
        <v>3.6906077348066297</v>
      </c>
      <c r="CD37" s="3" t="n">
        <v>4.883116883116883</v>
      </c>
      <c r="CE37" s="3" t="n">
        <v>2.9624413145539905</v>
      </c>
      <c r="CF37" s="3" t="n">
        <v>4.3582089552238807</v>
      </c>
      <c r="CG37" s="3" t="n">
        <v>3.296954314720812</v>
      </c>
      <c r="CH37" s="3" t="n">
        <v>4.6904109589041099</v>
      </c>
      <c r="CI37" s="3" t="n">
        <v>0.87709956200037631</v>
      </c>
      <c r="CJ37" s="3" t="n">
        <v>1.2784198657924346</v>
      </c>
      <c r="CK37" s="13" t="n">
        <v>0.84701300000000002</v>
      </c>
      <c r="CL37" s="13" t="n">
        <v>1.458388</v>
      </c>
      <c r="CM37" s="3" t="n">
        <v>0.86222223077733162</v>
      </c>
      <c r="CN37" s="3" t="n">
        <v>1.334600049637455</v>
      </c>
      <c r="CS37" s="6"/>
    </row>
    <row r="38">
      <c r="A38" s="6" t="n">
        <v>204</v>
      </c>
      <c r="B38" s="6" t="n">
        <v>0</v>
      </c>
      <c r="C38" s="3" t="n">
        <v>60.75</v>
      </c>
      <c r="D38" s="5" t="n">
        <v>172</v>
      </c>
      <c r="E38" s="5" t="n">
        <v>86</v>
      </c>
      <c r="F38" s="3" t="n">
        <v>29.069767441860467</v>
      </c>
      <c r="G38" s="6" t="n">
        <v>172</v>
      </c>
      <c r="H38" s="6" t="n">
        <v>87.5</v>
      </c>
      <c r="I38" s="3" t="n">
        <v>29.576798269334777</v>
      </c>
      <c r="J38" s="3" t="n">
        <v>3.72</v>
      </c>
      <c r="K38" s="3" t="n">
        <v>2.66</v>
      </c>
      <c r="L38" s="3" t="n">
        <v>8.11</v>
      </c>
      <c r="M38" s="3" t="n">
        <v>1.54</v>
      </c>
      <c r="N38" s="3" t="n">
        <v>97.16</v>
      </c>
      <c r="O38" s="3" t="n">
        <v>3.41</v>
      </c>
      <c r="P38" s="3" t="n">
        <v>2.41</v>
      </c>
      <c r="Q38" s="3" t="n">
        <v>8.84</v>
      </c>
      <c r="R38" s="3" t="n">
        <v>1.59</v>
      </c>
      <c r="S38" t="n">
        <v>97.93</v>
      </c>
      <c r="T38" s="6" t="n">
        <v>250</v>
      </c>
      <c r="U38" s="6" t="n">
        <v>68</v>
      </c>
      <c r="V38" s="6" t="n">
        <v>87</v>
      </c>
      <c r="W38" s="6" t="n">
        <v>19</v>
      </c>
      <c r="X38" s="5" t="n">
        <v>9.5</v>
      </c>
      <c r="Y38" s="3" t="n">
        <v>2.78</v>
      </c>
      <c r="Z38" s="3" t="n">
        <v>32.299999999999997</v>
      </c>
      <c r="AA38" s="5" t="n">
        <v>84.7</v>
      </c>
      <c r="AB38" s="6" t="n">
        <v>43</v>
      </c>
      <c r="AC38" s="3" t="n">
        <v>1.1100000000000001</v>
      </c>
      <c r="AD38" s="6" t="n">
        <v>156</v>
      </c>
      <c r="AE38" s="3" t="n">
        <v>17.820512820512821</v>
      </c>
      <c r="AF38" s="3" t="n">
        <v>25.59</v>
      </c>
      <c r="AG38" s="3" t="n">
        <v>2.62</v>
      </c>
      <c r="AH38" s="6" t="n">
        <v>158</v>
      </c>
      <c r="AI38" s="6" t="n">
        <v>78</v>
      </c>
      <c r="AJ38" s="6" t="n">
        <v>157</v>
      </c>
      <c r="AK38" s="6" t="n">
        <v>103</v>
      </c>
      <c r="AL38" s="1"/>
      <c r="AM38" s="1"/>
      <c r="AN38" s="3" t="n">
        <v>2.77</v>
      </c>
      <c r="AO38" s="3" t="n">
        <v>31.66</v>
      </c>
      <c r="AP38" s="5" t="n">
        <v>75.900000000000006</v>
      </c>
      <c r="AQ38" s="6" t="n">
        <v>42</v>
      </c>
      <c r="AR38" s="3" t="n">
        <v>1.07</v>
      </c>
      <c r="AS38" s="6" t="n">
        <v>174</v>
      </c>
      <c r="AT38" s="3" t="n">
        <v>23.7</v>
      </c>
      <c r="AU38" s="3" t="n">
        <v>2.5299999999999998</v>
      </c>
      <c r="AV38" s="3" t="n">
        <v>15.919540229885058</v>
      </c>
      <c r="AW38" s="5" t="n">
        <v>9.6999999999999993</v>
      </c>
      <c r="AX38" s="5" t="n">
        <v>7.8</v>
      </c>
      <c r="AY38" s="3" t="n">
        <v>48.457999999999998</v>
      </c>
      <c r="AZ38" s="3" t="n">
        <v>34.994999999999997</v>
      </c>
      <c r="BA38" s="3" t="n">
        <v>40.691860465116278</v>
      </c>
      <c r="BB38" s="3" t="n">
        <v>36.216999999999999</v>
      </c>
      <c r="BC38" s="3" t="n">
        <v>41.390857142857143</v>
      </c>
      <c r="BD38" s="3" t="n">
        <v>48.545000000000002</v>
      </c>
      <c r="BE38" s="6" t="n">
        <v>18366</v>
      </c>
      <c r="BF38" s="6" t="n">
        <v>18313</v>
      </c>
      <c r="BG38" s="10" t="n">
        <v>128</v>
      </c>
      <c r="BH38" s="10" t="n">
        <v>100</v>
      </c>
      <c r="BI38" s="10" t="n">
        <v>12.83</v>
      </c>
      <c r="BJ38" s="9" t="n">
        <v>37</v>
      </c>
      <c r="BK38" s="10" t="n">
        <v>128</v>
      </c>
      <c r="BL38" s="10" t="n">
        <v>101</v>
      </c>
      <c r="BM38" s="10" t="n">
        <v>12.89</v>
      </c>
      <c r="BN38" s="9" t="n">
        <v>15</v>
      </c>
      <c r="BO38" s="5" t="n">
        <v>768.58159133121853</v>
      </c>
      <c r="BP38" s="5" t="n">
        <v>780.00194313603811</v>
      </c>
      <c r="BQ38" s="3" t="n">
        <v>450</v>
      </c>
      <c r="BR38" s="3" t="n">
        <v>380</v>
      </c>
      <c r="BS38" s="12" t="n">
        <v>4347.2979999999998</v>
      </c>
      <c r="BT38" s="12" t="n">
        <v>6118.5479999999998</v>
      </c>
      <c r="BU38" s="12" t="n">
        <v>2315.2170000000001</v>
      </c>
      <c r="BV38" s="12" t="n">
        <v>2929.2849999999999</v>
      </c>
      <c r="BW38" s="12" t="n">
        <v>3485.3490000000002</v>
      </c>
      <c r="BX38" s="12" t="n">
        <v>5183.5140000000001</v>
      </c>
      <c r="BY38" s="5" t="n">
        <v>57.582940000000001</v>
      </c>
      <c r="BZ38" s="5" t="n">
        <v>70.681820000000002</v>
      </c>
      <c r="CA38" s="5" t="n">
        <v>42.417059999999999</v>
      </c>
      <c r="CB38" s="5" t="n">
        <v>29.318180000000002</v>
      </c>
      <c r="CC38" s="3" t="n">
        <v>4.3950617283950617</v>
      </c>
      <c r="CD38" s="3" t="n">
        <v>4.771704180064309</v>
      </c>
      <c r="CE38" s="3" t="n">
        <v>2.6871508379888267</v>
      </c>
      <c r="CF38" s="3" t="n">
        <v>2.8139534883720931</v>
      </c>
      <c r="CG38" s="3" t="n">
        <v>3.6706161137440758</v>
      </c>
      <c r="CH38" s="3" t="n">
        <v>4.1977272727272723</v>
      </c>
      <c r="CI38" s="3" t="n">
        <v>1.010987043689862</v>
      </c>
      <c r="CJ38" s="3" t="n">
        <v>0.77987519653025739</v>
      </c>
      <c r="CK38" s="13" t="n">
        <v>1.1606479999999999</v>
      </c>
      <c r="CL38" s="13" t="n">
        <v>0.96062800000000004</v>
      </c>
      <c r="CM38" s="3" t="n">
        <v>1.0531560743613448</v>
      </c>
      <c r="CN38" s="3" t="n">
        <v>0.80982265155771727</v>
      </c>
      <c r="CO38" s="3" t="n">
        <v>1.2715277320822715</v>
      </c>
      <c r="CP38" s="3" t="n">
        <v>1.2443269016030833</v>
      </c>
      <c r="CQ38" s="3" t="n">
        <v>1.3627792047464276</v>
      </c>
      <c r="CR38" s="3" t="n">
        <v>1.423187991180243</v>
      </c>
      <c r="CS38" s="6"/>
    </row>
    <row r="39">
      <c r="A39" s="6" t="n">
        <v>205</v>
      </c>
      <c r="B39" s="6" t="n">
        <v>0</v>
      </c>
      <c r="C39" s="3" t="n">
        <v>61.07</v>
      </c>
      <c r="D39" s="5" t="n">
        <v>164</v>
      </c>
      <c r="E39" s="5" t="n">
        <v>94.4</v>
      </c>
      <c r="F39" s="3" t="n">
        <v>35.098155859607381</v>
      </c>
      <c r="G39" s="6" t="n">
        <v>165.6</v>
      </c>
      <c r="H39" s="6" t="n">
        <v>97.9</v>
      </c>
      <c r="I39" s="3" t="n">
        <v>35.699491236668301</v>
      </c>
      <c r="J39" s="3" t="n">
        <v>3.01</v>
      </c>
      <c r="K39" s="3" t="n">
        <v>2.59</v>
      </c>
      <c r="L39" s="3" t="n">
        <v>6.8</v>
      </c>
      <c r="M39" s="3" t="n">
        <v>1.62</v>
      </c>
      <c r="N39" s="3" t="n">
        <v>93.08</v>
      </c>
      <c r="O39" s="3" t="n">
        <v>2.98</v>
      </c>
      <c r="P39" s="3" t="n">
        <v>2.5</v>
      </c>
      <c r="Q39" s="3" t="n">
        <v>7.63</v>
      </c>
      <c r="R39" s="3" t="n">
        <v>1.64</v>
      </c>
      <c r="S39" t="n">
        <v>84.88</v>
      </c>
      <c r="T39" s="6" t="n">
        <v>197</v>
      </c>
      <c r="U39" s="6" t="n">
        <v>66</v>
      </c>
      <c r="V39" s="6" t="n">
        <v>95</v>
      </c>
      <c r="W39" s="6" t="n">
        <v>18</v>
      </c>
      <c r="X39" s="5" t="n">
        <v>6.5</v>
      </c>
      <c r="Y39" s="3" t="n">
        <v>2.31</v>
      </c>
      <c r="Z39" s="3" t="n">
        <v>24.5</v>
      </c>
      <c r="AA39" s="5" t="n">
        <v>84</v>
      </c>
      <c r="AB39" s="6" t="n">
        <v>48</v>
      </c>
      <c r="AC39" s="3" t="n">
        <v>1.22</v>
      </c>
      <c r="AD39" s="6" t="n">
        <v>167</v>
      </c>
      <c r="AE39" s="3" t="n">
        <v>13.832335329341317</v>
      </c>
      <c r="AF39" s="3" t="n">
        <v>25.97</v>
      </c>
      <c r="AG39" s="3" t="n">
        <v>2.0499999999999998</v>
      </c>
      <c r="AH39" s="6" t="n">
        <v>143</v>
      </c>
      <c r="AI39" s="6" t="n">
        <v>89</v>
      </c>
      <c r="AJ39" s="6" t="n">
        <v>253</v>
      </c>
      <c r="AK39" s="6" t="n">
        <v>107</v>
      </c>
      <c r="AL39" s="1"/>
      <c r="AM39" s="6" t="n">
        <v>19</v>
      </c>
      <c r="AN39" s="3" t="n">
        <v>2.41</v>
      </c>
      <c r="AO39" s="3" t="n">
        <v>24.62</v>
      </c>
      <c r="AP39" s="5" t="n">
        <v>82.9</v>
      </c>
      <c r="AQ39" s="6" t="n">
        <v>48</v>
      </c>
      <c r="AR39" s="3" t="n">
        <v>1.17</v>
      </c>
      <c r="AS39" s="6" t="n">
        <v>167</v>
      </c>
      <c r="AT39" s="3" t="n">
        <v>27.5</v>
      </c>
      <c r="AU39" s="3" t="n">
        <v>2.15</v>
      </c>
      <c r="AV39" s="3" t="n">
        <v>14.431137724550899</v>
      </c>
      <c r="AW39" s="5" t="n">
        <v>8.3000000000000007</v>
      </c>
      <c r="AX39" s="5" t="n">
        <v>7.5</v>
      </c>
      <c r="AY39" s="3" t="n">
        <v>46.036999999999999</v>
      </c>
      <c r="AZ39" s="3" t="n">
        <v>46.029000000000003</v>
      </c>
      <c r="BA39" s="3" t="n">
        <v>48.759533898305087</v>
      </c>
      <c r="BB39" s="3" t="n">
        <v>48.197000000000003</v>
      </c>
      <c r="BC39" s="3" t="n">
        <v>49.23084780388151</v>
      </c>
      <c r="BD39" s="3" t="n">
        <v>46.902000000000001</v>
      </c>
      <c r="BE39" s="6" t="n">
        <v>15869</v>
      </c>
      <c r="BF39" s="6" t="n">
        <v>16311</v>
      </c>
      <c r="BG39" s="10" t="n">
        <v>144</v>
      </c>
      <c r="BH39" s="10" t="n">
        <v>73</v>
      </c>
      <c r="BI39" s="10" t="n">
        <v>10.46</v>
      </c>
      <c r="BJ39" s="9" t="n">
        <v>33</v>
      </c>
      <c r="BK39" s="10" t="n">
        <v>130</v>
      </c>
      <c r="BL39" s="10" t="n">
        <v>83</v>
      </c>
      <c r="BM39" s="10" t="n">
        <v>10.83</v>
      </c>
      <c r="BN39" s="9" t="n">
        <v>40</v>
      </c>
      <c r="BO39" s="5" t="n">
        <v>638.5761738134629</v>
      </c>
      <c r="BP39" s="5" t="n">
        <v>664.39223532303879</v>
      </c>
      <c r="BQ39" s="3" t="n">
        <v>45</v>
      </c>
      <c r="BR39" s="3" t="n">
        <v>120</v>
      </c>
      <c r="BS39" s="12" t="n">
        <v>3608.0160000000001</v>
      </c>
      <c r="BT39" s="12" t="n">
        <v>6170.0510000000004</v>
      </c>
      <c r="BU39" s="12" t="n">
        <v>2913.8989999999999</v>
      </c>
      <c r="BV39" s="12" t="n">
        <v>5241.6369999999997</v>
      </c>
      <c r="BW39" s="12" t="n">
        <v>3438.1610000000001</v>
      </c>
      <c r="BX39" s="12" t="n">
        <v>5996.9570000000003</v>
      </c>
      <c r="BY39" s="5" t="n">
        <v>75.529409999999999</v>
      </c>
      <c r="BZ39" s="5" t="n">
        <v>81.355930000000001</v>
      </c>
      <c r="CA39" s="5" t="n">
        <v>24.470590000000001</v>
      </c>
      <c r="CB39" s="5" t="n">
        <v>18.644069999999999</v>
      </c>
      <c r="CC39" s="3" t="n">
        <v>3.4361370716510904</v>
      </c>
      <c r="CD39" s="3" t="n">
        <v>4.583333333333333</v>
      </c>
      <c r="CE39" s="3" t="n">
        <v>2.7788461538461537</v>
      </c>
      <c r="CF39" s="3" t="n">
        <v>3.5909090909090908</v>
      </c>
      <c r="CG39" s="3" t="n">
        <v>3.2752941176470589</v>
      </c>
      <c r="CH39" s="3" t="n">
        <v>4.398305084745763</v>
      </c>
      <c r="CI39" s="3" t="n">
        <v>0.95236204082181541</v>
      </c>
      <c r="CJ39" s="3" t="n">
        <v>0.74283559966003088</v>
      </c>
      <c r="CK39" s="13" t="n">
        <v>0.95365200000000006</v>
      </c>
      <c r="CL39" s="13" t="n">
        <v>0.68507399999999996</v>
      </c>
      <c r="CM39" s="3" t="n">
        <v>0.95262964046779464</v>
      </c>
      <c r="CN39" s="3" t="n">
        <v>0.73342286273794688</v>
      </c>
      <c r="CO39" s="3" t="n">
        <v>0.81181029142049588</v>
      </c>
      <c r="CP39" s="3" t="n">
        <v>0.92376763929958527</v>
      </c>
      <c r="CQ39" s="3" t="n">
        <v>1.1336064567276396</v>
      </c>
      <c r="CR39" s="3" t="n">
        <v>1.3287065512902769</v>
      </c>
      <c r="CS39" s="6"/>
    </row>
    <row r="40">
      <c r="A40" s="6" t="n">
        <v>206</v>
      </c>
      <c r="B40" s="6" t="n">
        <v>0</v>
      </c>
      <c r="C40" s="3" t="n">
        <v>54.63</v>
      </c>
      <c r="D40" s="5" t="n">
        <v>162</v>
      </c>
      <c r="E40" s="5" t="n">
        <v>67</v>
      </c>
      <c r="F40" s="3" t="n">
        <v>25.529644871208653</v>
      </c>
      <c r="G40" s="6" t="n">
        <v>162.5</v>
      </c>
      <c r="H40" s="6" t="n">
        <v>66.599999999999994</v>
      </c>
      <c r="I40" s="3" t="n">
        <v>25.221301775147928</v>
      </c>
      <c r="J40" s="3" t="n">
        <v>2.39</v>
      </c>
      <c r="K40" s="3" t="n">
        <v>1.89</v>
      </c>
      <c r="L40" s="3" t="n">
        <v>6.65</v>
      </c>
      <c r="M40" s="3" t="n">
        <v>1.64</v>
      </c>
      <c r="N40" s="3" t="n">
        <v>116.75</v>
      </c>
      <c r="O40" s="3" t="n">
        <v>2.68</v>
      </c>
      <c r="P40" s="3" t="n">
        <v>2.17</v>
      </c>
      <c r="Q40" s="3" t="n">
        <v>7.61</v>
      </c>
      <c r="R40" s="3" t="n">
        <v>2.0299999999999998</v>
      </c>
      <c r="S40" t="n">
        <v>101.7</v>
      </c>
      <c r="T40" s="1"/>
      <c r="U40" s="1"/>
      <c r="V40" s="6" t="n">
        <v>92</v>
      </c>
      <c r="W40" s="6" t="n">
        <v>18</v>
      </c>
      <c r="X40" s="5" t="n">
        <v>9</v>
      </c>
      <c r="Y40" s="3" t="n">
        <v>2.2000000000000002</v>
      </c>
      <c r="Z40" s="3" t="n">
        <v>33</v>
      </c>
      <c r="AA40" s="5" t="n">
        <v>81.099999999999994</v>
      </c>
      <c r="AB40" s="6" t="n">
        <v>42</v>
      </c>
      <c r="AC40" s="3" t="n">
        <v>1.26</v>
      </c>
      <c r="AD40" s="6" t="n">
        <v>176</v>
      </c>
      <c r="AE40" s="3" t="n">
        <v>12.5</v>
      </c>
      <c r="AF40" s="3" t="n">
        <v>21.31</v>
      </c>
      <c r="AG40" s="3" t="n">
        <v>1.71</v>
      </c>
      <c r="AH40" s="6" t="n">
        <v>146</v>
      </c>
      <c r="AI40" s="6" t="n">
        <v>103</v>
      </c>
      <c r="AJ40" s="6" t="n">
        <v>201</v>
      </c>
      <c r="AK40" s="6" t="n">
        <v>115</v>
      </c>
      <c r="AL40" s="1"/>
      <c r="AM40" s="6" t="n">
        <v>19</v>
      </c>
      <c r="AN40" s="3" t="n">
        <v>2.4700000000000002</v>
      </c>
      <c r="AO40" s="3" t="n">
        <v>37.090000000000003</v>
      </c>
      <c r="AP40" s="5" t="n">
        <v>92.7</v>
      </c>
      <c r="AQ40" s="6" t="n">
        <v>49</v>
      </c>
      <c r="AR40" s="3" t="n">
        <v>1.28</v>
      </c>
      <c r="AS40" s="6" t="n">
        <v>170</v>
      </c>
      <c r="AT40" s="3" t="n">
        <v>22.2</v>
      </c>
      <c r="AU40" s="3" t="n">
        <v>1.89</v>
      </c>
      <c r="AV40" s="3" t="n">
        <v>14.529411764705882</v>
      </c>
      <c r="AW40" s="5" t="n">
        <v>8.5</v>
      </c>
      <c r="AX40" s="5" t="n">
        <v>9.1</v>
      </c>
      <c r="AY40" s="3" t="n">
        <v>40.951999999999998</v>
      </c>
      <c r="AZ40" s="3" t="n">
        <v>24.033000000000001</v>
      </c>
      <c r="BA40" s="3" t="n">
        <v>35.870149253731341</v>
      </c>
      <c r="BB40" s="3" t="n">
        <v>24.007999999999999</v>
      </c>
      <c r="BC40" s="3" t="n">
        <v>36.048048048048045</v>
      </c>
      <c r="BD40" s="3" t="n">
        <v>40.298999999999999</v>
      </c>
      <c r="BE40" s="6" t="n">
        <v>13610</v>
      </c>
      <c r="BF40" s="6" t="n">
        <v>13771</v>
      </c>
      <c r="BG40" s="10" t="n">
        <v>156</v>
      </c>
      <c r="BH40" s="10" t="n">
        <v>73</v>
      </c>
      <c r="BI40" s="10" t="n">
        <v>11.32</v>
      </c>
      <c r="BJ40" s="9" t="n">
        <v>32</v>
      </c>
      <c r="BK40" s="10" t="n">
        <v>126</v>
      </c>
      <c r="BL40" s="10" t="n">
        <v>81</v>
      </c>
      <c r="BM40" s="10" t="n">
        <v>10.14</v>
      </c>
      <c r="BN40" s="9" t="n">
        <v>50</v>
      </c>
      <c r="BO40" s="5" t="n">
        <v>593.83837169597678</v>
      </c>
      <c r="BP40" s="5" t="n">
        <v>570.68036628577397</v>
      </c>
      <c r="BQ40" s="3" t="n">
        <v>0</v>
      </c>
      <c r="BR40" s="3" t="n">
        <v>285</v>
      </c>
      <c r="BS40" s="12" t="n">
        <v>3001.6990000000001</v>
      </c>
      <c r="BT40" s="12" t="n">
        <v>2250.2550000000001</v>
      </c>
      <c r="BU40" s="12" t="n">
        <v>2839.8850000000002</v>
      </c>
      <c r="BV40" s="12" t="n">
        <v>2486.2550000000001</v>
      </c>
      <c r="BW40" s="12" t="n">
        <v>2890.65</v>
      </c>
      <c r="BX40" s="12" t="n">
        <v>2436.4029999999998</v>
      </c>
      <c r="BY40" s="5" t="n">
        <v>31.37255</v>
      </c>
      <c r="BZ40" s="5" t="n">
        <v>21.1236</v>
      </c>
      <c r="CA40" s="5" t="n">
        <v>68.627449999999996</v>
      </c>
      <c r="CB40" s="5" t="n">
        <v>78.876400000000004</v>
      </c>
      <c r="CC40" s="3" t="n">
        <v>2.7291666666666665</v>
      </c>
      <c r="CD40" s="3" t="n">
        <v>2.5106382978723403</v>
      </c>
      <c r="CE40" s="3" t="n">
        <v>2.519047619047619</v>
      </c>
      <c r="CF40" s="3" t="n">
        <v>2.4017094017094016</v>
      </c>
      <c r="CG40" s="3" t="n">
        <v>2.5849673202614381</v>
      </c>
      <c r="CH40" s="3" t="n">
        <v>2.4247191011235953</v>
      </c>
      <c r="CI40" s="3" t="n">
        <v>0.90920728888579816</v>
      </c>
      <c r="CJ40" s="3" t="n">
        <v>1.1157128487950017</v>
      </c>
      <c r="CK40" s="13" t="n">
        <v>0.88702499999999995</v>
      </c>
      <c r="CL40" s="13" t="n">
        <v>0.96599500000000005</v>
      </c>
      <c r="CM40" s="3" t="n">
        <v>0.89425121157388021</v>
      </c>
      <c r="CN40" s="3" t="n">
        <v>0.9952043270975014</v>
      </c>
      <c r="CO40" s="3" t="n">
        <v>1.1056727514201221</v>
      </c>
      <c r="CP40" s="3" t="n">
        <v>1.1970558351517795</v>
      </c>
      <c r="CQ40" s="3" t="n">
        <v>0.93419077969542386</v>
      </c>
      <c r="CR40" s="3" t="n">
        <v>1.0172389852926247</v>
      </c>
      <c r="CS40" s="6"/>
    </row>
    <row r="41">
      <c r="A41" s="6" t="n">
        <v>207</v>
      </c>
      <c r="B41" s="6" t="n">
        <v>0</v>
      </c>
      <c r="C41" s="3" t="n">
        <v>61.33</v>
      </c>
      <c r="D41" s="5" t="n">
        <v>164</v>
      </c>
      <c r="E41" s="5" t="n">
        <v>77.3</v>
      </c>
      <c r="F41" s="3" t="n">
        <v>28.740333135038671</v>
      </c>
      <c r="G41" s="6" t="n">
        <v>164.4</v>
      </c>
      <c r="H41" s="6" t="n">
        <v>78.400000000000006</v>
      </c>
      <c r="I41" s="3" t="n">
        <v>29.007642625842848</v>
      </c>
      <c r="J41" s="3" t="n">
        <v>3.59</v>
      </c>
      <c r="K41" s="3" t="n">
        <v>2.35</v>
      </c>
      <c r="L41" s="3" t="n">
        <v>6.56</v>
      </c>
      <c r="M41" s="3" t="n">
        <v>1.24</v>
      </c>
      <c r="N41" s="3" t="n">
        <v>107.96</v>
      </c>
      <c r="O41" s="3" t="n">
        <v>3.53</v>
      </c>
      <c r="P41" s="3" t="n">
        <v>2.31</v>
      </c>
      <c r="Q41" s="3" t="n">
        <v>7.09</v>
      </c>
      <c r="R41" s="3" t="n">
        <v>1.35</v>
      </c>
      <c r="S41" t="n">
        <v>99.21</v>
      </c>
      <c r="T41" s="1"/>
      <c r="U41" s="1"/>
      <c r="V41" s="6" t="n">
        <v>95</v>
      </c>
      <c r="W41" s="6" t="n">
        <v>19</v>
      </c>
      <c r="X41" s="5" t="n">
        <v>10</v>
      </c>
      <c r="Y41" s="3" t="n">
        <v>2.48</v>
      </c>
      <c r="Z41" s="3" t="n">
        <v>32.1</v>
      </c>
      <c r="AA41" s="5" t="n">
        <v>89.7</v>
      </c>
      <c r="AB41" s="6" t="n">
        <v>45</v>
      </c>
      <c r="AC41" s="3" t="n">
        <v>1.24</v>
      </c>
      <c r="AD41" s="6" t="n">
        <v>175</v>
      </c>
      <c r="AE41" s="3" t="n">
        <v>14.171428571428571</v>
      </c>
      <c r="AF41" s="3" t="n">
        <v>23.48</v>
      </c>
      <c r="AG41" s="3" t="n">
        <v>1.96</v>
      </c>
      <c r="AH41" s="6" t="n">
        <v>154</v>
      </c>
      <c r="AI41" s="6" t="n">
        <v>69</v>
      </c>
      <c r="AJ41" s="6" t="n">
        <v>195</v>
      </c>
      <c r="AK41" s="6" t="n">
        <v>53</v>
      </c>
      <c r="AL41" s="1"/>
      <c r="AM41" s="6" t="n">
        <v>18</v>
      </c>
      <c r="AN41" s="3" t="n">
        <v>2.4</v>
      </c>
      <c r="AO41" s="3" t="n">
        <v>30.61</v>
      </c>
      <c r="AP41" s="5" t="n">
        <v>85.5</v>
      </c>
      <c r="AQ41" s="6" t="n">
        <v>44</v>
      </c>
      <c r="AR41" s="3" t="n">
        <v>1.17</v>
      </c>
      <c r="AS41" s="6" t="n">
        <v>173</v>
      </c>
      <c r="AT41" s="3" t="n">
        <v>28.1</v>
      </c>
      <c r="AU41" s="3" t="n">
        <v>1.67</v>
      </c>
      <c r="AV41" s="3" t="n">
        <v>13.872832369942197</v>
      </c>
      <c r="AW41" s="5" t="n">
        <v>12</v>
      </c>
      <c r="AX41" s="5" t="n">
        <v>12.4</v>
      </c>
      <c r="AY41" s="3" t="n">
        <v>41.539000000000001</v>
      </c>
      <c r="AZ41" s="3" t="n">
        <v>33.488999999999997</v>
      </c>
      <c r="BA41" s="3" t="n">
        <v>43.323415265200516</v>
      </c>
      <c r="BB41" s="3" t="n">
        <v>33.423999999999999</v>
      </c>
      <c r="BC41" s="3" t="n">
        <v>42.632653061224488</v>
      </c>
      <c r="BD41" s="3" t="n">
        <v>42.572000000000003</v>
      </c>
      <c r="BE41" s="6" t="n">
        <v>14343</v>
      </c>
      <c r="BF41" s="6" t="n">
        <v>14703</v>
      </c>
      <c r="BG41" s="10" t="n">
        <v>154</v>
      </c>
      <c r="BH41" s="10" t="n">
        <v>75.814515</v>
      </c>
      <c r="BI41" s="10" t="n">
        <v>11.675435310000001</v>
      </c>
      <c r="BJ41" s="9" t="n">
        <v>37</v>
      </c>
      <c r="BK41" s="10" t="n">
        <v>133</v>
      </c>
      <c r="BL41" s="10" t="n">
        <v>102.12457500000001</v>
      </c>
      <c r="BM41" s="10" t="n">
        <v>13.582568475000002</v>
      </c>
      <c r="BN41" s="9" t="n">
        <v>20</v>
      </c>
      <c r="BO41" s="5" t="n">
        <v>512.11942489113233</v>
      </c>
      <c r="BP41" s="5" t="n">
        <v>523.65453326253294</v>
      </c>
      <c r="BQ41" s="3" t="n">
        <v>0</v>
      </c>
      <c r="BR41" s="3" t="n">
        <v>90</v>
      </c>
      <c r="BS41" s="12" t="n">
        <v>3721.05</v>
      </c>
      <c r="BT41" s="12" t="n">
        <v>5129.9560000000001</v>
      </c>
      <c r="BU41" s="12" t="n">
        <v>2551.8290000000002</v>
      </c>
      <c r="BV41" s="12" t="n">
        <v>3487.7719999999999</v>
      </c>
      <c r="BW41" s="12" t="n">
        <v>3110.491</v>
      </c>
      <c r="BX41" s="12" t="n">
        <v>4545.45</v>
      </c>
      <c r="BY41" s="5" t="n">
        <v>47.780679999999997</v>
      </c>
      <c r="BZ41" s="5" t="n">
        <v>64.406779999999998</v>
      </c>
      <c r="CA41" s="5" t="n">
        <v>52.219320000000003</v>
      </c>
      <c r="CB41" s="5" t="n">
        <v>35.593220000000002</v>
      </c>
      <c r="CC41" s="3" t="n">
        <v>4.2568306010928962</v>
      </c>
      <c r="CD41" s="3" t="n">
        <v>4.9078947368421053</v>
      </c>
      <c r="CE41" s="3" t="n">
        <v>2.9750000000000001</v>
      </c>
      <c r="CF41" s="3" t="n">
        <v>3.7698412698412698</v>
      </c>
      <c r="CG41" s="3" t="n">
        <v>3.5874673629242819</v>
      </c>
      <c r="CH41" s="3" t="n">
        <v>4.5028248587570623</v>
      </c>
      <c r="CI41" s="3" t="n">
        <v>1.1439863515819859</v>
      </c>
      <c r="CJ41" s="3" t="n">
        <v>0.95671289658987746</v>
      </c>
      <c r="CK41" s="13" t="n">
        <v>1.1658299999999999</v>
      </c>
      <c r="CL41" s="13" t="n">
        <v>1.0808739999999999</v>
      </c>
      <c r="CM41" s="3" t="n">
        <v>1.1533443793058547</v>
      </c>
      <c r="CN41" s="3" t="n">
        <v>0.99062255805169475</v>
      </c>
      <c r="CO41" s="3" t="n">
        <v>1.1889698428192736</v>
      </c>
      <c r="CP41" s="3" t="n">
        <v>1.2332292502803581</v>
      </c>
      <c r="CQ41" s="3" t="n">
        <v>1.6590159617152502</v>
      </c>
      <c r="CR41" s="3" t="n">
        <v>1.8553371742804172</v>
      </c>
      <c r="CS41" s="6"/>
    </row>
    <row r="42">
      <c r="A42" s="6" t="n">
        <v>208</v>
      </c>
      <c r="B42" s="6" t="n">
        <v>0</v>
      </c>
      <c r="C42" s="3" t="n">
        <v>55.29</v>
      </c>
      <c r="D42" s="5" t="n">
        <v>170</v>
      </c>
      <c r="E42" s="5" t="n">
        <v>57.5</v>
      </c>
      <c r="F42" s="3" t="n">
        <v>19.896193771626301</v>
      </c>
      <c r="G42" s="6" t="n">
        <v>170</v>
      </c>
      <c r="H42" s="6" t="n">
        <v>59.6</v>
      </c>
      <c r="I42" s="3" t="n">
        <v>20.622837370242216</v>
      </c>
      <c r="J42" s="3" t="n">
        <v>3.92</v>
      </c>
      <c r="K42" s="3" t="n">
        <v>2.83</v>
      </c>
      <c r="L42" s="3" t="n">
        <v>7.91</v>
      </c>
      <c r="M42" s="3" t="n">
        <v>1.49</v>
      </c>
      <c r="N42" s="3" t="n">
        <v>107.96</v>
      </c>
      <c r="O42" s="3" t="n">
        <v>3.83</v>
      </c>
      <c r="P42" s="3" t="n">
        <v>2.75</v>
      </c>
      <c r="Q42" s="3" t="n">
        <v>7.3</v>
      </c>
      <c r="R42" s="3" t="n">
        <v>1.36</v>
      </c>
      <c r="S42" t="n">
        <v>122.24</v>
      </c>
      <c r="T42" s="6" t="n">
        <v>158</v>
      </c>
      <c r="U42" s="6" t="n">
        <v>83</v>
      </c>
      <c r="V42" s="6" t="n">
        <v>95</v>
      </c>
      <c r="W42" s="6" t="n">
        <v>20</v>
      </c>
      <c r="X42" s="5" t="n">
        <v>9.5</v>
      </c>
      <c r="Y42" s="3" t="n">
        <v>1.67</v>
      </c>
      <c r="Z42" s="3" t="n">
        <v>29.3</v>
      </c>
      <c r="AA42" s="5" t="n">
        <v>65.400000000000006</v>
      </c>
      <c r="AB42" s="6" t="n">
        <v>37</v>
      </c>
      <c r="AC42" s="3" t="n">
        <v>1.27</v>
      </c>
      <c r="AD42" s="6" t="n">
        <v>188</v>
      </c>
      <c r="AE42" s="3" t="n">
        <v>8.8829787234042552</v>
      </c>
      <c r="AF42" s="3" t="n">
        <v>26.74</v>
      </c>
      <c r="AG42" s="3" t="n">
        <v>1.21</v>
      </c>
      <c r="AH42" s="6" t="n">
        <v>130</v>
      </c>
      <c r="AI42" s="6" t="n">
        <v>80</v>
      </c>
      <c r="AJ42" s="6" t="n">
        <v>202</v>
      </c>
      <c r="AK42" s="6" t="n">
        <v>86</v>
      </c>
      <c r="AL42" s="1"/>
      <c r="AM42" s="6" t="n">
        <v>20</v>
      </c>
      <c r="AN42" s="3" t="n">
        <v>2.2200000000000002</v>
      </c>
      <c r="AO42" s="3" t="n">
        <v>37.25</v>
      </c>
      <c r="AP42" s="5" t="n">
        <v>79.400000000000006</v>
      </c>
      <c r="AQ42" s="6" t="n">
        <v>36</v>
      </c>
      <c r="AR42" s="3" t="n">
        <v>1.26</v>
      </c>
      <c r="AS42" s="6" t="n">
        <v>183</v>
      </c>
      <c r="AT42" s="3" t="n">
        <v>22.4</v>
      </c>
      <c r="AU42" s="3" t="n">
        <v>1.68</v>
      </c>
      <c r="AV42" s="3" t="n">
        <v>12.131147540983607</v>
      </c>
      <c r="AW42" s="5" t="n">
        <v>4.5999999999999996</v>
      </c>
      <c r="AX42" s="5" t="n">
        <v>8.6</v>
      </c>
      <c r="AY42" s="3" t="n">
        <v>37.470999999999997</v>
      </c>
      <c r="AZ42" s="3" t="n">
        <v>17.72</v>
      </c>
      <c r="BA42" s="3" t="n">
        <v>30.817391304347826</v>
      </c>
      <c r="BB42" s="3" t="n">
        <v>19.744</v>
      </c>
      <c r="BC42" s="3" t="n">
        <v>33.127516778523493</v>
      </c>
      <c r="BD42" s="3" t="n">
        <v>37.396999999999998</v>
      </c>
      <c r="BE42" s="6" t="n">
        <v>11831</v>
      </c>
      <c r="BF42" s="6" t="n">
        <v>12158</v>
      </c>
      <c r="BG42" s="10" t="n">
        <v>138</v>
      </c>
      <c r="BH42" s="10" t="n">
        <v>80.547280000000015</v>
      </c>
      <c r="BI42" s="10" t="n">
        <v>11.115524640000002</v>
      </c>
      <c r="BJ42" s="9" t="n">
        <v>30</v>
      </c>
      <c r="BK42" s="10" t="n">
        <v>127</v>
      </c>
      <c r="BL42" s="10" t="n">
        <v>75.608060000000009</v>
      </c>
      <c r="BM42" s="10" t="n">
        <v>9.6022236200000002</v>
      </c>
      <c r="BN42" s="9" t="n">
        <v>50</v>
      </c>
      <c r="BO42" s="5" t="n">
        <v>511.86763549074254</v>
      </c>
      <c r="BP42" s="5" t="n">
        <v>544.17453403986258</v>
      </c>
      <c r="BQ42" s="3" t="n">
        <v>0</v>
      </c>
      <c r="BR42" s="3" t="n">
        <v>120</v>
      </c>
      <c r="BS42" s="12" t="n">
        <v>2953.3389999999999</v>
      </c>
      <c r="BT42" s="12" t="n">
        <v>4320.683</v>
      </c>
      <c r="BU42" s="12" t="n">
        <v>3168.4569999999999</v>
      </c>
      <c r="BV42" s="12" t="n">
        <v>2227.56</v>
      </c>
      <c r="BW42" s="12" t="n">
        <v>3075.498</v>
      </c>
      <c r="BX42" s="12" t="n">
        <v>3470.192</v>
      </c>
      <c r="BY42" s="5" t="n">
        <v>43.212670000000003</v>
      </c>
      <c r="BZ42" s="5" t="n">
        <v>59.367400000000004</v>
      </c>
      <c r="CA42" s="5" t="n">
        <v>56.787329999999997</v>
      </c>
      <c r="CB42" s="5" t="n">
        <v>40.632599999999996</v>
      </c>
      <c r="CC42" s="3" t="n">
        <v>3.0837696335078535</v>
      </c>
      <c r="CD42" s="3" t="n">
        <v>3.5737704918032787</v>
      </c>
      <c r="CE42" s="3" t="n">
        <v>2.8685258964143427</v>
      </c>
      <c r="CF42" s="3" t="n">
        <v>2.3772455089820359</v>
      </c>
      <c r="CG42" s="3" t="n">
        <v>2.9615384615384617</v>
      </c>
      <c r="CH42" s="3" t="n">
        <v>3.0875912408759123</v>
      </c>
      <c r="CI42" s="3" t="n">
        <v>1.0441638588438671</v>
      </c>
      <c r="CJ42" s="3" t="n">
        <v>0.82713098132251994</v>
      </c>
      <c r="CK42" s="13" t="n">
        <v>0.905339</v>
      </c>
      <c r="CL42" s="13" t="n">
        <v>1.067197</v>
      </c>
      <c r="CM42" s="3" t="n">
        <v>0.96294584109223214</v>
      </c>
      <c r="CN42" s="3" t="n">
        <v>0.88974642151964811</v>
      </c>
      <c r="CO42" s="3" t="n">
        <v>0.94056085589954663</v>
      </c>
      <c r="CP42" s="3" t="n">
        <v>1.3727951148508395</v>
      </c>
      <c r="CQ42" s="3" t="n">
        <v>0.97445012129989839</v>
      </c>
      <c r="CR42" s="3" t="n">
        <v>1.5490172181824144</v>
      </c>
      <c r="CS42" s="6"/>
    </row>
    <row r="43">
      <c r="A43" s="6" t="n">
        <v>209</v>
      </c>
      <c r="B43" s="6" t="n">
        <v>0</v>
      </c>
      <c r="C43" s="3" t="n">
        <v>57.13</v>
      </c>
      <c r="D43" s="5" t="n">
        <v>175</v>
      </c>
      <c r="E43" s="5" t="n">
        <v>82</v>
      </c>
      <c r="F43" s="3" t="n">
        <v>26.775510204081634</v>
      </c>
      <c r="G43" s="6" t="n">
        <v>175</v>
      </c>
      <c r="H43" s="6" t="n">
        <v>82.7</v>
      </c>
      <c r="I43" s="3" t="n">
        <v>27.004081632653062</v>
      </c>
      <c r="J43" s="3" t="n">
        <v>4.03</v>
      </c>
      <c r="K43" s="3" t="n">
        <v>3.16</v>
      </c>
      <c r="L43" s="3" t="n">
        <v>7.28</v>
      </c>
      <c r="M43" s="3" t="n">
        <v>1.3</v>
      </c>
      <c r="N43" s="3" t="n">
        <v>156.86000000000001</v>
      </c>
      <c r="O43" s="3" t="n">
        <v>3.75</v>
      </c>
      <c r="P43" s="3" t="n">
        <v>3.05</v>
      </c>
      <c r="Q43" s="3" t="n">
        <v>6.39</v>
      </c>
      <c r="R43" s="3" t="n">
        <v>1.18</v>
      </c>
      <c r="S43" t="n">
        <v>123.49</v>
      </c>
      <c r="T43" s="6" t="n">
        <v>216</v>
      </c>
      <c r="U43" s="6" t="n">
        <v>76</v>
      </c>
      <c r="V43" s="6" t="n">
        <v>95</v>
      </c>
      <c r="W43" s="6" t="n">
        <v>18</v>
      </c>
      <c r="X43" s="5" t="n">
        <v>8</v>
      </c>
      <c r="Y43" s="3" t="n">
        <v>1.94</v>
      </c>
      <c r="Z43" s="3" t="n">
        <v>23.6</v>
      </c>
      <c r="AA43" s="5" t="n">
        <v>88.6</v>
      </c>
      <c r="AB43" s="6" t="n">
        <v>44</v>
      </c>
      <c r="AC43" s="3" t="n">
        <v>1.21</v>
      </c>
      <c r="AD43" s="6" t="n">
        <v>181</v>
      </c>
      <c r="AE43" s="3" t="n">
        <v>10.718232044198896</v>
      </c>
      <c r="AF43" s="3" t="n">
        <v>31.17</v>
      </c>
      <c r="AG43" s="3" t="n">
        <v>1.88</v>
      </c>
      <c r="AH43" s="6" t="n">
        <v>150</v>
      </c>
      <c r="AI43" s="6" t="n">
        <v>104</v>
      </c>
      <c r="AJ43" s="6" t="n">
        <v>226</v>
      </c>
      <c r="AK43" s="6" t="n">
        <v>72</v>
      </c>
      <c r="AL43" s="1"/>
      <c r="AM43" s="6" t="n">
        <v>17</v>
      </c>
      <c r="AN43" s="3" t="n">
        <v>2.19</v>
      </c>
      <c r="AO43" s="3" t="n">
        <v>26.48</v>
      </c>
      <c r="AP43" s="5" t="n">
        <v>103.1</v>
      </c>
      <c r="AQ43" s="6" t="n">
        <v>47</v>
      </c>
      <c r="AR43" s="3" t="n">
        <v>1.23</v>
      </c>
      <c r="AS43" s="6" t="n">
        <v>155</v>
      </c>
      <c r="AT43" s="3" t="n">
        <v>33.9</v>
      </c>
      <c r="AU43" s="3" t="n">
        <v>1.7</v>
      </c>
      <c r="AV43" s="3" t="n">
        <v>14.129032258064516</v>
      </c>
      <c r="AW43" s="5" t="n">
        <v>9.8000000000000007</v>
      </c>
      <c r="AX43" s="5" t="n">
        <v>8</v>
      </c>
      <c r="AY43" s="3" t="n">
        <v>44.853999999999999</v>
      </c>
      <c r="AZ43" s="3" t="n">
        <v>34.862000000000002</v>
      </c>
      <c r="BA43" s="3" t="n">
        <v>42.514634146341464</v>
      </c>
      <c r="BB43" s="3" t="n">
        <v>34.216000000000001</v>
      </c>
      <c r="BC43" s="3" t="n">
        <v>41.373639661426843</v>
      </c>
      <c r="BD43" s="3" t="n">
        <v>46.143999999999998</v>
      </c>
      <c r="BE43" s="6" t="n">
        <v>15135</v>
      </c>
      <c r="BF43" s="6" t="n">
        <v>15876</v>
      </c>
      <c r="BG43" s="10" t="n">
        <v>166</v>
      </c>
      <c r="BH43" s="10" t="n">
        <v>70</v>
      </c>
      <c r="BI43" s="10" t="n">
        <v>11.69</v>
      </c>
      <c r="BJ43" s="9" t="n">
        <v>32</v>
      </c>
      <c r="BK43" s="10" t="n">
        <v>151</v>
      </c>
      <c r="BL43" s="10" t="n">
        <v>67</v>
      </c>
      <c r="BM43" s="10" t="n">
        <v>10.119999999999999</v>
      </c>
      <c r="BN43" s="9" t="n">
        <v>30</v>
      </c>
      <c r="BO43" s="5" t="n">
        <v>679.48894774577843</v>
      </c>
      <c r="BP43" s="5" t="n">
        <v>678.88641354067602</v>
      </c>
      <c r="BQ43" s="3" t="n">
        <v>0</v>
      </c>
      <c r="BR43" s="3" t="n">
        <v>290</v>
      </c>
      <c r="BS43" s="12" t="n">
        <v>5117.1549999999997</v>
      </c>
      <c r="BT43" s="12" t="n">
        <v>5451.28</v>
      </c>
      <c r="BU43" s="12" t="n">
        <v>2775.2950000000001</v>
      </c>
      <c r="BV43" s="12" t="n">
        <v>3058.2179999999998</v>
      </c>
      <c r="BW43" s="12" t="n">
        <v>4043.5830000000001</v>
      </c>
      <c r="BX43" s="12" t="n">
        <v>4181.5879999999997</v>
      </c>
      <c r="BY43" s="5" t="n">
        <v>54.157299999999999</v>
      </c>
      <c r="BZ43" s="5" t="n">
        <v>46.942799999999998</v>
      </c>
      <c r="CA43" s="5" t="n">
        <v>45.842700000000001</v>
      </c>
      <c r="CB43" s="5" t="n">
        <v>53.057200000000002</v>
      </c>
      <c r="CC43" s="3" t="n">
        <v>4</v>
      </c>
      <c r="CD43" s="3" t="n">
        <v>4.46218487394958</v>
      </c>
      <c r="CE43" s="3" t="n">
        <v>2.7058823529411766</v>
      </c>
      <c r="CF43" s="3" t="n">
        <v>3.029739776951673</v>
      </c>
      <c r="CG43" s="3" t="n">
        <v>3.4067415730337078</v>
      </c>
      <c r="CH43" s="3" t="n">
        <v>3.7021696252465484</v>
      </c>
      <c r="CI43" s="3" t="n">
        <v>0.78168431904198932</v>
      </c>
      <c r="CJ43" s="3" t="n">
        <v>0.81855728246134973</v>
      </c>
      <c r="CK43" s="13" t="n">
        <v>0.97498899999999999</v>
      </c>
      <c r="CL43" s="13" t="n">
        <v>0.99068800000000001</v>
      </c>
      <c r="CM43" s="3" t="n">
        <v>0.84250558914790008</v>
      </c>
      <c r="CN43" s="3" t="n">
        <v>0.88535012186339723</v>
      </c>
      <c r="CO43" s="3" t="n">
        <v>0.81595391237444581</v>
      </c>
      <c r="CP43" s="3" t="n">
        <v>0.79106481809996154</v>
      </c>
      <c r="CQ43" s="3" t="n">
        <v>0.99186214055371513</v>
      </c>
      <c r="CR43" s="3" t="n">
        <v>0.97533214158569193</v>
      </c>
      <c r="CS43" s="6"/>
    </row>
    <row r="44">
      <c r="A44" s="6" t="n">
        <v>210</v>
      </c>
      <c r="B44" s="6" t="n">
        <v>0</v>
      </c>
      <c r="C44" s="3" t="n">
        <v>53.05</v>
      </c>
      <c r="D44" s="5" t="n">
        <v>178</v>
      </c>
      <c r="E44" s="5" t="n">
        <v>81.3</v>
      </c>
      <c r="F44" s="3" t="n">
        <v>25.659638934477968</v>
      </c>
      <c r="G44" s="6" t="n">
        <v>178</v>
      </c>
      <c r="H44" s="6" t="n">
        <v>80.900000000000006</v>
      </c>
      <c r="I44" s="3" t="n">
        <v>25.533392248453477</v>
      </c>
      <c r="J44" s="3" t="n">
        <v>4.1900000000000004</v>
      </c>
      <c r="K44" s="3" t="n">
        <v>3.31</v>
      </c>
      <c r="L44" s="3" t="n">
        <v>7.07</v>
      </c>
      <c r="M44" s="3" t="n">
        <v>1.34</v>
      </c>
      <c r="N44" s="3" t="n">
        <v>122.01</v>
      </c>
      <c r="O44" s="3" t="n">
        <v>4.18</v>
      </c>
      <c r="P44" s="3" t="n">
        <v>3.21</v>
      </c>
      <c r="Q44" s="3" t="n">
        <v>7.71</v>
      </c>
      <c r="R44" s="3" t="n">
        <v>1.38</v>
      </c>
      <c r="S44" t="n">
        <v>115.05</v>
      </c>
      <c r="T44" s="6" t="n">
        <v>174</v>
      </c>
      <c r="U44" s="6" t="n">
        <v>58</v>
      </c>
      <c r="V44" s="6" t="n">
        <v>97</v>
      </c>
      <c r="W44" s="6" t="n">
        <v>20</v>
      </c>
      <c r="X44" s="5" t="n">
        <v>9</v>
      </c>
      <c r="Y44" s="3" t="n">
        <v>2.2999999999999998</v>
      </c>
      <c r="Z44" s="3" t="n">
        <v>28.3</v>
      </c>
      <c r="AA44" s="5" t="n">
        <v>100.3</v>
      </c>
      <c r="AB44" s="6" t="n">
        <v>44</v>
      </c>
      <c r="AC44" s="3" t="n">
        <v>1.28</v>
      </c>
      <c r="AD44" s="6" t="n">
        <v>167</v>
      </c>
      <c r="AE44" s="3" t="n">
        <v>13.77245508982036</v>
      </c>
      <c r="AF44" s="3" t="n">
        <v>26.11</v>
      </c>
      <c r="AG44" s="3" t="n">
        <v>2.2200000000000002</v>
      </c>
      <c r="AH44" s="6" t="n">
        <v>114</v>
      </c>
      <c r="AI44" s="6" t="n">
        <v>72</v>
      </c>
      <c r="AJ44" s="6" t="n">
        <v>218</v>
      </c>
      <c r="AK44" s="6" t="n">
        <v>97</v>
      </c>
      <c r="AL44" s="1"/>
      <c r="AM44" s="1"/>
      <c r="AN44" s="3" t="n">
        <v>2.73</v>
      </c>
      <c r="AO44" s="3" t="n">
        <v>33.75</v>
      </c>
      <c r="AP44" s="5" t="n">
        <v>107.3</v>
      </c>
      <c r="AQ44" s="6" t="n">
        <v>46</v>
      </c>
      <c r="AR44" s="3" t="n">
        <v>1.24</v>
      </c>
      <c r="AS44" s="6" t="n">
        <v>172</v>
      </c>
      <c r="AT44" s="3" t="n">
        <v>25.5</v>
      </c>
      <c r="AU44" s="3" t="n">
        <v>2.33</v>
      </c>
      <c r="AV44" s="3" t="n">
        <v>15.872093023255815</v>
      </c>
      <c r="AW44" s="5" t="n">
        <v>9.3000000000000007</v>
      </c>
      <c r="AX44" s="5" t="n">
        <v>10.8</v>
      </c>
      <c r="AY44" s="3" t="n">
        <v>48.787999999999997</v>
      </c>
      <c r="AZ44" s="3" t="n">
        <v>30.838999999999999</v>
      </c>
      <c r="BA44" s="3" t="n">
        <v>37.932349323493234</v>
      </c>
      <c r="BB44" s="3" t="n">
        <v>29.492000000000001</v>
      </c>
      <c r="BC44" s="3" t="n">
        <v>36.454882571075395</v>
      </c>
      <c r="BD44" s="3" t="n">
        <v>48.866999999999997</v>
      </c>
      <c r="BE44" s="6" t="n">
        <v>16662</v>
      </c>
      <c r="BF44" s="6" t="n">
        <v>16069</v>
      </c>
      <c r="BG44" s="10" t="n">
        <v>135</v>
      </c>
      <c r="BH44" s="10" t="n">
        <v>98.417804999999987</v>
      </c>
      <c r="BI44" s="10" t="n">
        <v>13.286403674999997</v>
      </c>
      <c r="BJ44" s="9" t="n">
        <v>31</v>
      </c>
      <c r="BK44" s="10" t="n">
        <v>137</v>
      </c>
      <c r="BL44" s="10" t="n">
        <v>95.510949999999994</v>
      </c>
      <c r="BM44" s="10" t="n">
        <v>13.085000149999999</v>
      </c>
      <c r="BN44" s="9" t="n">
        <v>25</v>
      </c>
      <c r="BO44" s="5" t="n">
        <v>702.53361900335005</v>
      </c>
      <c r="BP44" s="5"/>
      <c r="BQ44" s="3" t="n">
        <v>0</v>
      </c>
      <c r="BR44" s="3" t="n">
        <v>70</v>
      </c>
      <c r="BS44" s="12" t="n">
        <v>3172.1280000000002</v>
      </c>
      <c r="BT44" s="12" t="n">
        <v>2891.5720000000001</v>
      </c>
      <c r="BU44" s="12" t="n">
        <v>3383.134</v>
      </c>
      <c r="BV44" s="12" t="n">
        <v>3099.8090000000002</v>
      </c>
      <c r="BW44" s="12" t="n">
        <v>3273.7379999999998</v>
      </c>
      <c r="BX44" s="12" t="n">
        <v>3013.3180000000002</v>
      </c>
      <c r="BY44" s="5" t="n">
        <v>51.845019999999998</v>
      </c>
      <c r="BZ44" s="5" t="n">
        <v>41.534990000000001</v>
      </c>
      <c r="CA44" s="5" t="n">
        <v>48.154980000000002</v>
      </c>
      <c r="CB44" s="5" t="n">
        <v>58.465009999999999</v>
      </c>
      <c r="CC44" s="3" t="n">
        <v>3.3345195729537367</v>
      </c>
      <c r="CD44" s="3" t="n">
        <v>3.2934782608695654</v>
      </c>
      <c r="CE44" s="3" t="n">
        <v>3.0383141762452106</v>
      </c>
      <c r="CF44" s="3" t="n">
        <v>3.1930501930501931</v>
      </c>
      <c r="CG44" s="3" t="n">
        <v>3.1918819188191883</v>
      </c>
      <c r="CH44" s="3" t="n">
        <v>3.234762979683973</v>
      </c>
      <c r="CI44" s="3" t="n">
        <v>1.0511931513453598</v>
      </c>
      <c r="CJ44" s="3" t="n">
        <v>1.1389923618758713</v>
      </c>
      <c r="CK44" s="13" t="n">
        <v>0.89807700000000001</v>
      </c>
      <c r="CL44" s="13" t="n">
        <v>1.0300800000000001</v>
      </c>
      <c r="CM44" s="3" t="n">
        <v>0.97499613671870278</v>
      </c>
      <c r="CN44" s="3" t="n">
        <v>1.0734888100612647</v>
      </c>
      <c r="CO44" s="3" t="n">
        <v>0.5934766882411181</v>
      </c>
      <c r="CP44" s="3" t="n">
        <v>0.80647423409569119</v>
      </c>
      <c r="CQ44" s="3" t="n">
        <v>0.82170498522531388</v>
      </c>
      <c r="CR44" s="3" t="n">
        <v>0.90309240242982014</v>
      </c>
      <c r="CS44" s="6"/>
    </row>
    <row r="45">
      <c r="A45" s="6" t="n">
        <v>211</v>
      </c>
      <c r="B45" s="6" t="n">
        <v>0</v>
      </c>
      <c r="C45" s="3" t="n">
        <v>63.04</v>
      </c>
      <c r="D45" s="5" t="n">
        <v>167</v>
      </c>
      <c r="E45" s="5" t="n">
        <v>57.1</v>
      </c>
      <c r="F45" s="3" t="n">
        <v>20.474022015848544</v>
      </c>
      <c r="G45" s="6" t="n">
        <v>167</v>
      </c>
      <c r="H45" s="6" t="n">
        <v>58.5</v>
      </c>
      <c r="I45" s="3" t="n">
        <v>20.976012047760765</v>
      </c>
      <c r="J45" s="3" t="n">
        <v>3.82</v>
      </c>
      <c r="K45" s="3" t="n">
        <v>3.05</v>
      </c>
      <c r="L45" s="3" t="n">
        <v>7.44</v>
      </c>
      <c r="M45" s="3" t="n">
        <v>1.34</v>
      </c>
      <c r="N45" s="3" t="n">
        <v>127.55</v>
      </c>
      <c r="O45" s="3" t="n">
        <v>3.94</v>
      </c>
      <c r="P45" s="3" t="n">
        <v>3.18</v>
      </c>
      <c r="Q45" s="3" t="n">
        <v>7.27</v>
      </c>
      <c r="R45" s="3" t="n">
        <v>1.3</v>
      </c>
      <c r="S45" t="n">
        <v>128.94999999999999</v>
      </c>
      <c r="T45" s="1"/>
      <c r="U45" s="1"/>
      <c r="V45" s="6" t="n">
        <v>97</v>
      </c>
      <c r="W45" s="6" t="n">
        <v>20</v>
      </c>
      <c r="X45" s="5" t="n">
        <v>12.5</v>
      </c>
      <c r="Y45" s="3" t="n">
        <v>2.42</v>
      </c>
      <c r="Z45" s="3" t="n">
        <v>42.4</v>
      </c>
      <c r="AA45" s="5" t="n">
        <v>103.9</v>
      </c>
      <c r="AB45" s="6" t="n">
        <v>50</v>
      </c>
      <c r="AC45" s="3" t="n">
        <v>1.18</v>
      </c>
      <c r="AD45" s="6" t="n">
        <v>186</v>
      </c>
      <c r="AE45" s="3" t="n">
        <v>13.010752688172044</v>
      </c>
      <c r="AF45" s="3" t="n">
        <v>29.55</v>
      </c>
      <c r="AG45" s="3" t="n">
        <v>2.21</v>
      </c>
      <c r="AH45" s="6" t="n">
        <v>143</v>
      </c>
      <c r="AI45" s="6" t="n">
        <v>95</v>
      </c>
      <c r="AJ45" s="6" t="n">
        <v>212</v>
      </c>
      <c r="AK45" s="6" t="n">
        <v>83</v>
      </c>
      <c r="AL45" s="1"/>
      <c r="AM45" s="1"/>
      <c r="AN45" s="3" t="n">
        <v>2.63</v>
      </c>
      <c r="AO45" s="3" t="n">
        <v>44.96</v>
      </c>
      <c r="AP45" s="5" t="n">
        <v>107.2</v>
      </c>
      <c r="AQ45" s="6" t="n">
        <v>52</v>
      </c>
      <c r="AR45" s="3" t="n">
        <v>1.18</v>
      </c>
      <c r="AS45" s="6" t="n">
        <v>186</v>
      </c>
      <c r="AT45" s="3" t="n">
        <v>31.8</v>
      </c>
      <c r="AU45" s="3" t="n">
        <v>2.33</v>
      </c>
      <c r="AV45" s="3" t="n">
        <v>14.13978494623656</v>
      </c>
      <c r="AW45" s="5" t="n">
        <v>9.5</v>
      </c>
      <c r="AX45" s="5" t="n">
        <v>13.7</v>
      </c>
      <c r="AY45" s="3" t="n">
        <v>40.877000000000002</v>
      </c>
      <c r="AZ45" s="3" t="n">
        <v>14.523</v>
      </c>
      <c r="BA45" s="3" t="n">
        <v>25.434325744308229</v>
      </c>
      <c r="BB45" s="3" t="n">
        <v>15.962999999999999</v>
      </c>
      <c r="BC45" s="3" t="n">
        <v>27.287179487179486</v>
      </c>
      <c r="BD45" s="3" t="n">
        <v>40.878</v>
      </c>
      <c r="BE45" s="6" t="n">
        <v>14442</v>
      </c>
      <c r="BF45" s="6" t="n">
        <v>14454</v>
      </c>
      <c r="BG45" s="10" t="n">
        <v>146</v>
      </c>
      <c r="BH45" s="10" t="n">
        <v>76</v>
      </c>
      <c r="BI45" s="10" t="n">
        <v>11.06</v>
      </c>
      <c r="BJ45" s="9" t="n">
        <v>37</v>
      </c>
      <c r="BK45" s="10" t="n">
        <v>161</v>
      </c>
      <c r="BL45" s="10" t="n">
        <v>75</v>
      </c>
      <c r="BM45" s="10" t="n">
        <v>12.09</v>
      </c>
      <c r="BN45" s="9" t="n">
        <v>20</v>
      </c>
      <c r="BO45" s="5" t="n">
        <v>578.21045996265514</v>
      </c>
      <c r="BP45" s="5" t="n">
        <v>593.27852159075917</v>
      </c>
      <c r="BQ45" s="3" t="n">
        <v>480</v>
      </c>
      <c r="BR45" s="3" t="n">
        <v>190</v>
      </c>
      <c r="BS45" s="12" t="n">
        <v>3421.433</v>
      </c>
      <c r="BT45" s="12" t="n">
        <v>4403.5209999999997</v>
      </c>
      <c r="BU45" s="12" t="n">
        <v>2717.7919999999999</v>
      </c>
      <c r="BV45" s="12" t="n">
        <v>2535.6909999999998</v>
      </c>
      <c r="BW45" s="12" t="n">
        <v>2956.7150000000001</v>
      </c>
      <c r="BX45" s="12" t="n">
        <v>3413.5329999999999</v>
      </c>
      <c r="BY45" s="5" t="n">
        <v>33.955219999999997</v>
      </c>
      <c r="BZ45" s="5" t="n">
        <v>46.997929999999997</v>
      </c>
      <c r="CA45" s="5" t="n">
        <v>66.044780000000003</v>
      </c>
      <c r="CB45" s="5" t="n">
        <v>53.002070000000003</v>
      </c>
      <c r="CC45" s="3" t="n">
        <v>3.802197802197802</v>
      </c>
      <c r="CD45" s="3" t="n">
        <v>4.356828193832599</v>
      </c>
      <c r="CE45" s="3" t="n">
        <v>2.8248587570621471</v>
      </c>
      <c r="CF45" s="3" t="n">
        <v>3.03515625</v>
      </c>
      <c r="CG45" s="3" t="n">
        <v>3.1567164179104479</v>
      </c>
      <c r="CH45" s="3" t="n">
        <v>3.6563146997929605</v>
      </c>
      <c r="CI45" s="3" t="n">
        <v>1.1112879929009889</v>
      </c>
      <c r="CJ45" s="3" t="n">
        <v>0.98939637197454122</v>
      </c>
      <c r="CK45" s="13" t="n">
        <v>1.0393950000000001</v>
      </c>
      <c r="CL45" s="13" t="n">
        <v>1.196974</v>
      </c>
      <c r="CM45" s="3" t="n">
        <v>1.0676430931608047</v>
      </c>
      <c r="CN45" s="3" t="n">
        <v>1.07112343944942</v>
      </c>
      <c r="CO45" s="3" t="n">
        <v>1.1873804664973679</v>
      </c>
      <c r="CP45" s="3" t="n">
        <v>2.2338825869224137</v>
      </c>
      <c r="CQ45" s="3" t="n">
        <v>0.852199595137765</v>
      </c>
      <c r="CR45" s="3" t="n">
        <v>1.3863831431781146</v>
      </c>
      <c r="CS45" s="6"/>
    </row>
    <row r="46">
      <c r="A46" s="6" t="n">
        <v>216</v>
      </c>
      <c r="B46" s="6" t="n">
        <v>0</v>
      </c>
      <c r="C46" s="3" t="n">
        <v>52.36</v>
      </c>
      <c r="D46" s="5" t="n">
        <v>169.8</v>
      </c>
      <c r="E46" s="5" t="n">
        <v>66</v>
      </c>
      <c r="F46" s="3" t="n">
        <v>22.891200206437002</v>
      </c>
      <c r="G46" s="6" t="n">
        <v>170.5</v>
      </c>
      <c r="H46" s="6" t="n">
        <v>65.900000000000006</v>
      </c>
      <c r="I46" s="3" t="n">
        <v>22.669223690886732</v>
      </c>
      <c r="J46" s="1"/>
      <c r="K46" s="1"/>
      <c r="L46" s="1"/>
      <c r="M46" s="1"/>
      <c r="N46" s="3" t="n">
        <v>121.96</v>
      </c>
      <c r="O46" s="1"/>
      <c r="P46" s="1"/>
      <c r="Q46" s="1"/>
      <c r="R46" s="1"/>
      <c r="S46" t="n">
        <v>119.18</v>
      </c>
      <c r="T46" s="6" t="n">
        <v>189</v>
      </c>
      <c r="U46" s="6" t="n">
        <v>59</v>
      </c>
      <c r="V46" s="6" t="n">
        <v>93</v>
      </c>
      <c r="W46" s="6" t="n">
        <v>17</v>
      </c>
      <c r="X46" s="5" t="n">
        <v>10</v>
      </c>
      <c r="Y46" s="3" t="n">
        <v>1.89</v>
      </c>
      <c r="Z46" s="3" t="n">
        <v>28.6</v>
      </c>
      <c r="AA46" s="5" t="n">
        <v>82.6</v>
      </c>
      <c r="AB46" s="6" t="n">
        <v>44</v>
      </c>
      <c r="AC46" s="3" t="n">
        <v>1.36</v>
      </c>
      <c r="AD46" s="6" t="n">
        <v>182</v>
      </c>
      <c r="AE46" s="3" t="n">
        <v>10.384615384615385</v>
      </c>
      <c r="AF46" s="3" t="n">
        <v>23.9</v>
      </c>
      <c r="AG46" s="3" t="n">
        <v>1.4</v>
      </c>
      <c r="AH46" s="6" t="n">
        <v>118</v>
      </c>
      <c r="AI46" s="6" t="n">
        <v>74</v>
      </c>
      <c r="AJ46" s="6" t="n">
        <v>217</v>
      </c>
      <c r="AK46" s="6" t="n">
        <v>58</v>
      </c>
      <c r="AL46" s="6" t="n">
        <v>91</v>
      </c>
      <c r="AM46" s="6" t="n">
        <v>20</v>
      </c>
      <c r="AN46" s="3" t="n">
        <v>2.1</v>
      </c>
      <c r="AO46" s="3" t="n">
        <v>31.87</v>
      </c>
      <c r="AP46" s="5" t="n">
        <v>78.8</v>
      </c>
      <c r="AQ46" s="6" t="n">
        <v>46</v>
      </c>
      <c r="AR46" s="3" t="n">
        <v>1.29</v>
      </c>
      <c r="AS46" s="6" t="n">
        <v>174</v>
      </c>
      <c r="AT46" s="3" t="n">
        <v>25.6</v>
      </c>
      <c r="AU46" s="3" t="n">
        <v>1.57</v>
      </c>
      <c r="AV46" s="3" t="n">
        <v>12.068965517241379</v>
      </c>
      <c r="AW46" s="1"/>
      <c r="AX46" s="5" t="n">
        <v>9.6</v>
      </c>
      <c r="AY46" s="3" t="n">
        <v>40.145000000000003</v>
      </c>
      <c r="AZ46" s="3" t="n">
        <v>23.315000000000001</v>
      </c>
      <c r="BA46" s="3" t="n">
        <v>35.325757575757578</v>
      </c>
      <c r="BB46" s="3" t="n">
        <v>22.881</v>
      </c>
      <c r="BC46" s="3" t="n">
        <v>34.720789074355082</v>
      </c>
      <c r="BD46" s="3" t="n">
        <v>40.585999999999999</v>
      </c>
      <c r="BE46" s="6" t="n">
        <v>13288</v>
      </c>
      <c r="BF46" s="6" t="n">
        <v>13791</v>
      </c>
      <c r="BG46" s="10" t="n">
        <v>153</v>
      </c>
      <c r="BH46" s="10" t="n">
        <v>65</v>
      </c>
      <c r="BI46" s="10" t="n">
        <v>9.98</v>
      </c>
      <c r="BJ46" s="9" t="n">
        <v>70</v>
      </c>
      <c r="BK46" s="10" t="n">
        <v>126</v>
      </c>
      <c r="BL46" s="10" t="n">
        <v>73</v>
      </c>
      <c r="BM46" s="10" t="n">
        <v>9.23</v>
      </c>
      <c r="BN46" s="9" t="n">
        <v>60</v>
      </c>
      <c r="BQ46" s="3" t="n">
        <v>0</v>
      </c>
      <c r="BR46" s="3" t="n">
        <v>85</v>
      </c>
      <c r="BS46" s="12" t="n">
        <v>4349.7719999999999</v>
      </c>
      <c r="BT46" s="12" t="n">
        <v>6273.1239999999998</v>
      </c>
      <c r="BU46" s="12" t="n">
        <v>2335.9630000000002</v>
      </c>
      <c r="BV46" s="12" t="n">
        <v>4057.777</v>
      </c>
      <c r="BW46" s="12" t="n">
        <v>3246.6370000000002</v>
      </c>
      <c r="BX46" s="12" t="n">
        <v>5173.95</v>
      </c>
      <c r="BY46" s="5" t="n">
        <v>45.221449999999997</v>
      </c>
      <c r="BZ46" s="5" t="n">
        <v>50.383629999999997</v>
      </c>
      <c r="CA46" s="5" t="n">
        <v>54.778550000000003</v>
      </c>
      <c r="CB46" s="5" t="n">
        <v>49.616370000000003</v>
      </c>
      <c r="CC46" s="3" t="n">
        <v>3.6804123711340204</v>
      </c>
      <c r="CD46" s="3" t="n">
        <v>4.2131979695431472</v>
      </c>
      <c r="CE46" s="3" t="n">
        <v>2.2808510638297874</v>
      </c>
      <c r="CF46" s="3" t="n">
        <v>2.8865979381443299</v>
      </c>
      <c r="CG46" s="3" t="n">
        <v>2.9137529137529139</v>
      </c>
      <c r="CH46" s="3" t="n">
        <v>3.5549872122762149</v>
      </c>
      <c r="CI46" s="3" t="n">
        <v>0.84611606536689743</v>
      </c>
      <c r="CJ46" s="3" t="n">
        <v>0.67162671356250303</v>
      </c>
      <c r="CK46" s="13" t="n">
        <v>0.97640700000000002</v>
      </c>
      <c r="CL46" s="13" t="n">
        <v>0.71137399999999995</v>
      </c>
      <c r="CM46" s="3" t="n">
        <v>0.89746815796437585</v>
      </c>
      <c r="CN46" s="3" t="n">
        <v>0.68709349491267779</v>
      </c>
      <c r="CO46" s="3" t="n">
        <v>0.85778400529181054</v>
      </c>
      <c r="CP46" s="3" t="n">
        <v>1.0927298612441867</v>
      </c>
      <c r="CQ46" s="3" t="n">
        <v>1.1599083522870486</v>
      </c>
      <c r="CR46" s="3" t="n">
        <v>1.2065416408921641</v>
      </c>
      <c r="CS46" s="6"/>
    </row>
    <row r="47">
      <c r="A47" s="6" t="n">
        <v>229</v>
      </c>
      <c r="B47" s="6" t="n">
        <v>0</v>
      </c>
      <c r="C47" s="3" t="n">
        <v>52.74</v>
      </c>
      <c r="D47" s="5" t="n">
        <v>169</v>
      </c>
      <c r="E47" s="5" t="n">
        <v>68.2</v>
      </c>
      <c r="F47" s="3" t="n">
        <v>23.878715731241908</v>
      </c>
      <c r="G47" s="6" t="n">
        <v>169.6</v>
      </c>
      <c r="H47" s="6" t="n">
        <v>64.7</v>
      </c>
      <c r="I47" s="3" t="n">
        <v>22.493269401922394</v>
      </c>
      <c r="J47" s="1"/>
      <c r="K47" s="1"/>
      <c r="L47" s="1"/>
      <c r="M47" s="1"/>
      <c r="N47" s="3" t="n">
        <v>119.45</v>
      </c>
      <c r="O47" s="3" t="n">
        <v>3.32</v>
      </c>
      <c r="P47" s="3" t="n">
        <v>2.92</v>
      </c>
      <c r="Q47" s="3" t="n">
        <v>6.8</v>
      </c>
      <c r="R47" s="3" t="n">
        <v>1.26</v>
      </c>
      <c r="S47" t="n">
        <v>119.83</v>
      </c>
      <c r="T47" s="6" t="n">
        <v>159</v>
      </c>
      <c r="U47" s="6" t="n">
        <v>79</v>
      </c>
      <c r="V47" s="6" t="n">
        <v>97</v>
      </c>
      <c r="W47" s="6" t="n">
        <v>17</v>
      </c>
      <c r="X47" s="5" t="n">
        <v>10.5</v>
      </c>
      <c r="Y47" s="3" t="n">
        <v>2.21</v>
      </c>
      <c r="Z47" s="3" t="n">
        <v>32.4</v>
      </c>
      <c r="AA47" s="5" t="n">
        <v>88.2</v>
      </c>
      <c r="AB47" s="6" t="n">
        <v>46</v>
      </c>
      <c r="AC47" s="3" t="n">
        <v>1.19</v>
      </c>
      <c r="AD47" s="6" t="n">
        <v>174</v>
      </c>
      <c r="AE47" s="3" t="n">
        <v>12.701149425287356</v>
      </c>
      <c r="AF47" s="3" t="n">
        <v>29.4</v>
      </c>
      <c r="AG47" s="3" t="n">
        <v>1.7</v>
      </c>
      <c r="AH47" s="6" t="n">
        <v>114</v>
      </c>
      <c r="AI47" s="6" t="n">
        <v>77</v>
      </c>
      <c r="AJ47" s="6" t="n">
        <v>149</v>
      </c>
      <c r="AK47" s="6" t="n">
        <v>73</v>
      </c>
      <c r="AL47" s="6" t="n">
        <v>97</v>
      </c>
      <c r="AM47" s="6" t="n">
        <v>18</v>
      </c>
      <c r="AN47" s="3" t="n">
        <v>2.2799999999999998</v>
      </c>
      <c r="AO47" s="3" t="n">
        <v>35.24</v>
      </c>
      <c r="AP47" s="5" t="n">
        <v>93.7</v>
      </c>
      <c r="AQ47" s="6" t="n">
        <v>50</v>
      </c>
      <c r="AR47" s="3" t="n">
        <v>1.17</v>
      </c>
      <c r="AS47" s="6" t="n">
        <v>173</v>
      </c>
      <c r="AT47" s="3" t="n">
        <v>29.8</v>
      </c>
      <c r="AU47" s="3" t="n">
        <v>1.62</v>
      </c>
      <c r="AV47" s="3" t="n">
        <v>13.179190751445086</v>
      </c>
      <c r="AW47" s="5" t="n">
        <v>8.9</v>
      </c>
      <c r="AX47" s="5" t="n">
        <v>7.2</v>
      </c>
      <c r="AY47" s="3" t="n">
        <v>38.389000000000003</v>
      </c>
      <c r="AZ47" s="3" t="n">
        <v>26.576000000000001</v>
      </c>
      <c r="BA47" s="3" t="n">
        <v>38.967741935483872</v>
      </c>
      <c r="BB47" s="3" t="n">
        <v>23.408999999999999</v>
      </c>
      <c r="BC47" s="3" t="n">
        <v>36.180834621329211</v>
      </c>
      <c r="BD47" s="3" t="n">
        <v>38.017000000000003</v>
      </c>
      <c r="BE47" s="6" t="n">
        <v>13063</v>
      </c>
      <c r="BF47" s="6" t="n">
        <v>12639</v>
      </c>
      <c r="BG47" s="10" t="n">
        <v>128</v>
      </c>
      <c r="BH47" s="10" t="n">
        <v>79</v>
      </c>
      <c r="BI47" s="10" t="n">
        <v>10.08</v>
      </c>
      <c r="BJ47" s="9" t="n">
        <v>50</v>
      </c>
      <c r="BK47" s="10" t="n">
        <v>128</v>
      </c>
      <c r="BL47" s="10" t="n">
        <v>65</v>
      </c>
      <c r="BM47" s="10" t="n">
        <v>8.3699999999999992</v>
      </c>
      <c r="BN47" s="9" t="n">
        <v>43</v>
      </c>
      <c r="BO47" s="5" t="n">
        <v>543.68902171266302</v>
      </c>
      <c r="BP47" s="3" t="n">
        <v>564.89014887558722</v>
      </c>
      <c r="BQ47" s="3" t="n">
        <v>0</v>
      </c>
      <c r="BR47" s="3" t="n">
        <v>90</v>
      </c>
      <c r="BS47" s="12" t="n">
        <v>4365.6559999999999</v>
      </c>
      <c r="BT47" s="12" t="n">
        <v>2930.1260000000002</v>
      </c>
      <c r="BU47" s="12" t="n">
        <v>2615.2060000000001</v>
      </c>
      <c r="BV47" s="12" t="n">
        <v>2085.181</v>
      </c>
      <c r="BW47" s="12" t="n">
        <v>3479.886</v>
      </c>
      <c r="BX47" s="12" t="n">
        <v>2518.4859999999999</v>
      </c>
      <c r="BY47" s="5" t="n">
        <v>49.397590000000001</v>
      </c>
      <c r="BZ47" s="5" t="n">
        <v>51.282049999999998</v>
      </c>
      <c r="CA47" s="5" t="n">
        <v>50.602409999999999</v>
      </c>
      <c r="CB47" s="5" t="n">
        <v>48.717950000000002</v>
      </c>
      <c r="CC47" s="3" t="n">
        <v>3.6731707317073172</v>
      </c>
      <c r="CD47" s="3" t="n">
        <v>3.4681818181818183</v>
      </c>
      <c r="CE47" s="3" t="n">
        <v>2.4714285714285715</v>
      </c>
      <c r="CF47" s="3" t="n">
        <v>2.4688995215311005</v>
      </c>
      <c r="CG47" s="3" t="n">
        <v>3.0650602409638554</v>
      </c>
      <c r="CH47" s="3" t="n">
        <v>2.9813519813519815</v>
      </c>
      <c r="CI47" s="3" t="n">
        <v>0.84137881808601134</v>
      </c>
      <c r="CJ47" s="3" t="n">
        <v>1.1836288278990652</v>
      </c>
      <c r="CK47" s="13" t="n">
        <v>0.94502200000000003</v>
      </c>
      <c r="CL47" s="13" t="n">
        <v>1.1840219999999999</v>
      </c>
      <c r="CM47" s="3" t="n">
        <v>0.88079319670681588</v>
      </c>
      <c r="CN47" s="3" t="n">
        <v>1.183787342435197</v>
      </c>
      <c r="CO47" s="3" t="n">
        <v>1.0223715857320612</v>
      </c>
      <c r="CP47" s="3" t="n">
        <v>1.461590035689593</v>
      </c>
      <c r="CQ47" s="3" t="n">
        <v>1.5919000953150499</v>
      </c>
      <c r="CR47" s="3" t="n">
        <v>2.7747811729770713</v>
      </c>
      <c r="CS47" s="6"/>
    </row>
    <row r="48">
      <c r="A48" s="6" t="n">
        <v>230</v>
      </c>
      <c r="B48" s="6" t="n">
        <v>0</v>
      </c>
      <c r="C48" s="3" t="n">
        <v>51.64</v>
      </c>
      <c r="D48" s="5" t="n">
        <v>167.6</v>
      </c>
      <c r="E48" s="5" t="n">
        <v>65.7</v>
      </c>
      <c r="F48" s="3" t="n">
        <v>23.389306281007741</v>
      </c>
      <c r="G48" s="6" t="n">
        <v>167</v>
      </c>
      <c r="H48" s="6" t="n">
        <v>64.5</v>
      </c>
      <c r="I48" s="3" t="n">
        <v>23.127397898813154</v>
      </c>
      <c r="J48" s="1"/>
      <c r="K48" s="1"/>
      <c r="L48" s="1"/>
      <c r="M48" s="1"/>
      <c r="N48" s="3" t="n">
        <v>120.07</v>
      </c>
      <c r="O48" s="1"/>
      <c r="P48" s="1"/>
      <c r="Q48" s="1"/>
      <c r="R48" s="1"/>
      <c r="S48" t="n">
        <v>128.68</v>
      </c>
      <c r="T48" s="6" t="n">
        <v>181</v>
      </c>
      <c r="U48" s="6" t="n">
        <v>72</v>
      </c>
      <c r="V48" s="6" t="n">
        <v>96</v>
      </c>
      <c r="W48" s="6" t="n">
        <v>17</v>
      </c>
      <c r="X48" s="5" t="n">
        <v>13</v>
      </c>
      <c r="Y48" s="3" t="n">
        <v>2.72</v>
      </c>
      <c r="Z48" s="3" t="n">
        <v>41.4</v>
      </c>
      <c r="AA48" s="5" t="n">
        <v>106.7</v>
      </c>
      <c r="AB48" s="6" t="n">
        <v>48</v>
      </c>
      <c r="AC48" s="3" t="n">
        <v>1.1599999999999999</v>
      </c>
      <c r="AD48" s="6" t="n">
        <v>182</v>
      </c>
      <c r="AE48" s="3" t="n">
        <v>14.945054945054945</v>
      </c>
      <c r="AF48" s="3" t="n">
        <v>30</v>
      </c>
      <c r="AG48" s="3" t="n">
        <v>2.0699999999999998</v>
      </c>
      <c r="AH48" s="6" t="n">
        <v>113</v>
      </c>
      <c r="AI48" s="6" t="n">
        <v>78</v>
      </c>
      <c r="AJ48" s="6" t="n">
        <v>150</v>
      </c>
      <c r="AK48" s="6" t="n">
        <v>58</v>
      </c>
      <c r="AL48" s="6" t="n">
        <v>98</v>
      </c>
      <c r="AM48" s="6" t="n">
        <v>20</v>
      </c>
      <c r="AN48" s="3" t="n">
        <v>3.03</v>
      </c>
      <c r="AO48" s="3" t="n">
        <v>46.98</v>
      </c>
      <c r="AP48" s="5" t="n">
        <v>125.6</v>
      </c>
      <c r="AQ48" s="6" t="n">
        <v>52</v>
      </c>
      <c r="AR48" s="3" t="n">
        <v>1.17</v>
      </c>
      <c r="AS48" s="6" t="n">
        <v>182</v>
      </c>
      <c r="AT48" s="3" t="n">
        <v>32.6</v>
      </c>
      <c r="AU48" s="3" t="n">
        <v>2.12</v>
      </c>
      <c r="AV48" s="3" t="n">
        <v>16.64835164835165</v>
      </c>
      <c r="AW48" s="5" t="n">
        <v>10.6</v>
      </c>
      <c r="AX48" s="5" t="n">
        <v>10.8</v>
      </c>
      <c r="AY48" s="3" t="n">
        <v>43.962000000000003</v>
      </c>
      <c r="AZ48" s="3" t="n">
        <v>19.696999999999999</v>
      </c>
      <c r="BA48" s="3" t="n">
        <v>29.980213089802128</v>
      </c>
      <c r="BB48" s="3" t="n">
        <v>17.204999999999998</v>
      </c>
      <c r="BC48" s="3" t="n">
        <v>26.674418604651162</v>
      </c>
      <c r="BD48" s="3" t="n">
        <v>45.415999999999997</v>
      </c>
      <c r="BE48" s="6" t="n">
        <v>15802</v>
      </c>
      <c r="BF48" s="6" t="n">
        <v>15975</v>
      </c>
      <c r="BG48" s="10" t="n">
        <v>138</v>
      </c>
      <c r="BH48" s="10" t="n">
        <v>85</v>
      </c>
      <c r="BI48" s="10" t="n">
        <v>11.75</v>
      </c>
      <c r="BJ48" s="9" t="n">
        <v>65</v>
      </c>
      <c r="BK48" s="10" t="n">
        <v>135</v>
      </c>
      <c r="BL48" s="10" t="n">
        <v>78</v>
      </c>
      <c r="BM48" s="10" t="n">
        <v>10.55</v>
      </c>
      <c r="BN48" s="9" t="n">
        <v>70</v>
      </c>
      <c r="BO48" s="5" t="n">
        <v>641.19316571850038</v>
      </c>
      <c r="BP48" s="3" t="n">
        <v>651.21762243930311</v>
      </c>
      <c r="BQ48" s="3" t="n">
        <v>0</v>
      </c>
      <c r="BR48" s="3" t="n">
        <v>120</v>
      </c>
      <c r="BS48" s="12" t="n">
        <v>4865.8310000000001</v>
      </c>
      <c r="BT48" s="12" t="n">
        <v>7590.8770000000004</v>
      </c>
      <c r="BU48" s="12" t="n">
        <v>4702.2</v>
      </c>
      <c r="BV48" s="12" t="n">
        <v>6661.9040000000005</v>
      </c>
      <c r="BW48" s="12" t="n">
        <v>4765.5110000000004</v>
      </c>
      <c r="BX48" s="12" t="n">
        <v>6884.7790000000005</v>
      </c>
      <c r="BY48" s="5" t="n">
        <v>38.691589999999998</v>
      </c>
      <c r="BZ48" s="5" t="n">
        <v>23.991510000000002</v>
      </c>
      <c r="CA48" s="5" t="n">
        <v>61.308410000000002</v>
      </c>
      <c r="CB48" s="5" t="n">
        <v>76.008489999999995</v>
      </c>
      <c r="CC48" s="3" t="n">
        <v>4.3768115942028984</v>
      </c>
      <c r="CD48" s="3" t="n">
        <v>4.389380530973451</v>
      </c>
      <c r="CE48" s="3" t="n">
        <v>4.1067073170731705</v>
      </c>
      <c r="CF48" s="3" t="n">
        <v>3.2094972067039107</v>
      </c>
      <c r="CG48" s="3" t="n">
        <v>4.2112149532710283</v>
      </c>
      <c r="CH48" s="3" t="n">
        <v>3.4925690021231421</v>
      </c>
      <c r="CI48" s="3" t="n">
        <v>0.89949938093891146</v>
      </c>
      <c r="CJ48" s="3" t="n">
        <v>0.57824415811643515</v>
      </c>
      <c r="CK48" s="13" t="n">
        <v>0.873359</v>
      </c>
      <c r="CL48" s="13" t="n">
        <v>0.481769</v>
      </c>
      <c r="CM48" s="3" t="n">
        <v>0.88368584599168587</v>
      </c>
      <c r="CN48" s="3" t="n">
        <v>0.50728847096131202</v>
      </c>
      <c r="CO48" s="3" t="n">
        <v>1.0694094499036122</v>
      </c>
      <c r="CP48" s="3" t="n">
        <v>2.0035386382022748</v>
      </c>
      <c r="CQ48" s="3" t="n">
        <v>1.1043786458515847</v>
      </c>
      <c r="CR48" s="3" t="n">
        <v>1.0481339246261423</v>
      </c>
      <c r="CS48" s="6"/>
    </row>
    <row r="49">
      <c r="A49" s="6" t="n">
        <v>232</v>
      </c>
      <c r="B49" s="6" t="n">
        <v>0</v>
      </c>
      <c r="C49" s="3" t="n">
        <v>53.04</v>
      </c>
      <c r="D49" s="5" t="n">
        <v>164.9</v>
      </c>
      <c r="E49" s="5" t="n">
        <v>89.2</v>
      </c>
      <c r="F49" s="3" t="n">
        <v>32.803753749722809</v>
      </c>
      <c r="G49" s="6" t="n">
        <v>164.4</v>
      </c>
      <c r="H49" s="6" t="n">
        <v>91.6</v>
      </c>
      <c r="I49" s="3" t="n">
        <v>33.891582455704139</v>
      </c>
      <c r="J49" s="3" t="n">
        <v>2.5299999999999998</v>
      </c>
      <c r="K49" s="3" t="n">
        <v>2.11</v>
      </c>
      <c r="L49" s="3" t="n">
        <v>6.42</v>
      </c>
      <c r="M49" s="3" t="n">
        <v>1.53</v>
      </c>
      <c r="N49" s="3" t="n">
        <v>103.86</v>
      </c>
      <c r="O49" s="3" t="n">
        <v>2.38</v>
      </c>
      <c r="P49" s="3" t="n">
        <v>2.19</v>
      </c>
      <c r="Q49" s="3" t="n">
        <v>5.31</v>
      </c>
      <c r="R49" s="3" t="n">
        <v>1.77</v>
      </c>
      <c r="S49" t="n">
        <v>96.83</v>
      </c>
      <c r="T49" s="6" t="n">
        <v>177</v>
      </c>
      <c r="U49" s="6" t="n">
        <v>75</v>
      </c>
      <c r="V49" s="6" t="n">
        <v>99</v>
      </c>
      <c r="W49" s="6" t="n">
        <v>18</v>
      </c>
      <c r="X49" s="5" t="n">
        <v>8</v>
      </c>
      <c r="Y49" s="3" t="n">
        <v>2.2200000000000002</v>
      </c>
      <c r="Z49" s="3" t="n">
        <v>24.9</v>
      </c>
      <c r="AA49" s="5" t="n">
        <v>70.099999999999994</v>
      </c>
      <c r="AB49" s="6" t="n">
        <v>46</v>
      </c>
      <c r="AC49" s="3" t="n">
        <v>1.1599999999999999</v>
      </c>
      <c r="AD49" s="6" t="n">
        <v>177</v>
      </c>
      <c r="AE49" s="3" t="n">
        <v>12.542372881355933</v>
      </c>
      <c r="AF49" s="3" t="n">
        <v>24.6</v>
      </c>
      <c r="AG49" s="3" t="n">
        <v>1.92</v>
      </c>
      <c r="AH49" s="6" t="n">
        <v>118</v>
      </c>
      <c r="AI49" s="6" t="n">
        <v>81</v>
      </c>
      <c r="AJ49" s="1"/>
      <c r="AK49" s="1"/>
      <c r="AL49" s="6" t="n">
        <v>87</v>
      </c>
      <c r="AM49" s="6" t="n">
        <v>18</v>
      </c>
      <c r="AN49" s="3" t="n">
        <v>2.5099999999999998</v>
      </c>
      <c r="AO49" s="3" t="n">
        <v>27.4</v>
      </c>
      <c r="AP49" s="5" t="n">
        <v>81.2</v>
      </c>
      <c r="AQ49" s="6" t="n">
        <v>52</v>
      </c>
      <c r="AR49" s="3" t="n">
        <v>1.22</v>
      </c>
      <c r="AS49" s="6" t="n">
        <v>169</v>
      </c>
      <c r="AT49" s="3" t="n">
        <v>24.7</v>
      </c>
      <c r="AU49" s="3" t="n">
        <v>1.85</v>
      </c>
      <c r="AV49" s="3" t="n">
        <v>14.852071005917161</v>
      </c>
      <c r="AW49" s="5" t="n">
        <v>11.2</v>
      </c>
      <c r="AX49" s="5" t="n">
        <v>13.1</v>
      </c>
      <c r="AY49" s="3" t="n">
        <v>41.872999999999998</v>
      </c>
      <c r="AZ49" s="3" t="n">
        <v>44.29</v>
      </c>
      <c r="BA49" s="3" t="n">
        <v>49.652466367712996</v>
      </c>
      <c r="BB49" s="3" t="n">
        <v>44.905000000000001</v>
      </c>
      <c r="BC49" s="3" t="n">
        <v>49.022925764192145</v>
      </c>
      <c r="BD49" s="3" t="n">
        <v>43.98</v>
      </c>
      <c r="BE49" s="6" t="n">
        <v>16151</v>
      </c>
      <c r="BF49" s="6" t="n">
        <v>17115</v>
      </c>
      <c r="BG49" s="10" t="n">
        <v>135</v>
      </c>
      <c r="BH49" s="10" t="n">
        <v>73</v>
      </c>
      <c r="BI49" s="10" t="n">
        <v>9.92</v>
      </c>
      <c r="BJ49" s="9" t="n">
        <v>35</v>
      </c>
      <c r="BK49" s="10" t="n">
        <v>141</v>
      </c>
      <c r="BL49" s="10" t="n">
        <v>74</v>
      </c>
      <c r="BM49" s="10" t="n">
        <v>10.52</v>
      </c>
      <c r="BN49" s="9" t="n">
        <v>40</v>
      </c>
      <c r="BQ49" s="3" t="n">
        <v>0</v>
      </c>
      <c r="BR49" s="3" t="n">
        <v>90</v>
      </c>
      <c r="BS49" s="12" t="n">
        <v>2953.4209999999998</v>
      </c>
      <c r="BT49" s="12" t="n">
        <v>5452.2089999999998</v>
      </c>
      <c r="BU49" s="12" t="n">
        <v>3088.924</v>
      </c>
      <c r="BV49" s="12" t="n">
        <v>4191.5469999999996</v>
      </c>
      <c r="BW49" s="12" t="n">
        <v>3042.873</v>
      </c>
      <c r="BX49" s="12" t="n">
        <v>4752.9350000000004</v>
      </c>
      <c r="BY49" s="5" t="n">
        <v>33.985329999999998</v>
      </c>
      <c r="BZ49" s="5" t="n">
        <v>44.53125</v>
      </c>
      <c r="CA49" s="5" t="n">
        <v>66.014669999999995</v>
      </c>
      <c r="CB49" s="5" t="n">
        <v>55.46875</v>
      </c>
      <c r="CC49" s="3" t="n">
        <v>1.6258992805755397</v>
      </c>
      <c r="CD49" s="3" t="n">
        <v>4.4035087719298245</v>
      </c>
      <c r="CE49" s="3" t="n">
        <v>1.2407407407407407</v>
      </c>
      <c r="CF49" s="3" t="n">
        <v>3.4507042253521125</v>
      </c>
      <c r="CG49" s="3" t="n">
        <v>1.3716381418092909</v>
      </c>
      <c r="CH49" s="3" t="n">
        <v>3.875</v>
      </c>
      <c r="CI49" s="3" t="n">
        <v>0.55051383402290488</v>
      </c>
      <c r="CJ49" s="3" t="n">
        <v>0.80765596069888224</v>
      </c>
      <c r="CK49" s="13" t="n">
        <v>0.40167399999999998</v>
      </c>
      <c r="CL49" s="13" t="n">
        <v>0.82325300000000001</v>
      </c>
      <c r="CM49" s="3" t="n">
        <v>0.45077072525497525</v>
      </c>
      <c r="CN49" s="3" t="n">
        <v>0.81528565932907371</v>
      </c>
      <c r="CO49" s="3" t="n">
        <v>1.9865348576428639</v>
      </c>
      <c r="CP49" s="3" t="n">
        <v>2.5017096761023732</v>
      </c>
      <c r="CQ49" s="3" t="n">
        <v>1.2219673536472029</v>
      </c>
      <c r="CR49" s="3" t="n">
        <v>1.3273086728673995</v>
      </c>
      <c r="CS49" s="6"/>
    </row>
    <row r="50">
      <c r="A50" s="6" t="n">
        <v>233</v>
      </c>
      <c r="B50" s="6" t="n">
        <v>0</v>
      </c>
      <c r="C50" s="3" t="n">
        <v>55.82</v>
      </c>
      <c r="D50" s="5" t="n">
        <v>175.8</v>
      </c>
      <c r="E50" s="5" t="n">
        <v>80.3</v>
      </c>
      <c r="F50" s="3" t="n">
        <v>25.98231261349061</v>
      </c>
      <c r="G50" s="6" t="n">
        <v>176.5</v>
      </c>
      <c r="H50" s="6" t="n">
        <v>80.400000000000006</v>
      </c>
      <c r="I50" s="3" t="n">
        <v>25.808729706522005</v>
      </c>
      <c r="J50" s="1"/>
      <c r="K50" s="1"/>
      <c r="L50" s="1"/>
      <c r="M50" s="1"/>
      <c r="N50" s="3" t="n">
        <v>135.5</v>
      </c>
      <c r="O50" s="1"/>
      <c r="P50" s="1"/>
      <c r="Q50" s="1"/>
      <c r="R50" s="1"/>
      <c r="S50" t="n">
        <v>137.44999999999999</v>
      </c>
      <c r="T50" s="6" t="n">
        <v>216</v>
      </c>
      <c r="U50" s="6" t="n">
        <v>62</v>
      </c>
      <c r="V50" s="6" t="n">
        <v>97</v>
      </c>
      <c r="W50" s="6" t="n">
        <v>17</v>
      </c>
      <c r="X50" s="5" t="n">
        <v>10</v>
      </c>
      <c r="Y50" s="3" t="n">
        <v>2.56</v>
      </c>
      <c r="Z50" s="3" t="n">
        <v>31.9</v>
      </c>
      <c r="AA50" s="5" t="n">
        <v>83.9</v>
      </c>
      <c r="AB50" s="6" t="n">
        <v>36</v>
      </c>
      <c r="AC50" s="3" t="n">
        <v>1.19</v>
      </c>
      <c r="AD50" s="6" t="n">
        <v>173</v>
      </c>
      <c r="AE50" s="3" t="n">
        <v>14.797687861271676</v>
      </c>
      <c r="AF50" s="3" t="n">
        <v>27.4</v>
      </c>
      <c r="AG50" s="3" t="n">
        <v>2.2200000000000002</v>
      </c>
      <c r="AH50" s="6" t="n">
        <v>124</v>
      </c>
      <c r="AI50" s="6" t="n">
        <v>78</v>
      </c>
      <c r="AJ50" s="6" t="n">
        <v>206</v>
      </c>
      <c r="AK50" s="6" t="n">
        <v>64</v>
      </c>
      <c r="AL50" s="6" t="n">
        <v>96</v>
      </c>
      <c r="AM50" s="6" t="n">
        <v>18</v>
      </c>
      <c r="AN50" s="3" t="n">
        <v>2.67</v>
      </c>
      <c r="AO50" s="3" t="n">
        <v>33.21</v>
      </c>
      <c r="AP50" s="5" t="n">
        <v>96.3</v>
      </c>
      <c r="AQ50" s="6" t="n">
        <v>35</v>
      </c>
      <c r="AR50" s="3" t="n">
        <v>1.21</v>
      </c>
      <c r="AS50" s="6" t="n">
        <v>180</v>
      </c>
      <c r="AT50" s="3" t="n">
        <v>26.9</v>
      </c>
      <c r="AU50" s="3" t="n">
        <v>2.0299999999999998</v>
      </c>
      <c r="AV50" s="3" t="n">
        <v>14.833333333333334</v>
      </c>
      <c r="AW50" s="1"/>
      <c r="AX50" s="5" t="n">
        <v>7.4</v>
      </c>
      <c r="AY50" s="3" t="n">
        <v>48.783999999999999</v>
      </c>
      <c r="AZ50" s="3" t="n">
        <v>28.623999999999999</v>
      </c>
      <c r="BA50" s="3" t="n">
        <v>35.646326276463263</v>
      </c>
      <c r="BB50" s="3" t="n">
        <v>27.763999999999999</v>
      </c>
      <c r="BC50" s="3" t="n">
        <v>34.53233830845771</v>
      </c>
      <c r="BD50" s="3" t="n">
        <v>49.747</v>
      </c>
      <c r="BE50" s="6" t="n">
        <v>18018</v>
      </c>
      <c r="BF50" s="6" t="n">
        <v>18282</v>
      </c>
      <c r="BG50" s="10" t="n">
        <v>136</v>
      </c>
      <c r="BH50" s="10" t="n">
        <v>88</v>
      </c>
      <c r="BI50" s="10" t="n">
        <v>11.91</v>
      </c>
      <c r="BJ50" s="9" t="n">
        <v>25</v>
      </c>
      <c r="BK50" s="10" t="n">
        <v>135</v>
      </c>
      <c r="BL50" s="10" t="n">
        <v>77</v>
      </c>
      <c r="BM50" s="10" t="n">
        <v>10.43</v>
      </c>
      <c r="BN50" s="9" t="n">
        <v>60</v>
      </c>
      <c r="BQ50" s="3" t="n">
        <v>180</v>
      </c>
      <c r="BR50" s="3" t="n">
        <v>90</v>
      </c>
      <c r="BS50" s="12" t="n">
        <v>4873.4920000000002</v>
      </c>
      <c r="BT50" s="12" t="n">
        <v>3069.2330000000002</v>
      </c>
      <c r="BU50" s="12" t="n">
        <v>2697.2080000000001</v>
      </c>
      <c r="BV50" s="12" t="n">
        <v>2750.681</v>
      </c>
      <c r="BW50" s="12" t="n">
        <v>4237.6009999999997</v>
      </c>
      <c r="BX50" s="12" t="n">
        <v>2802.4180000000001</v>
      </c>
      <c r="BY50" s="5" t="n">
        <v>70.780860000000004</v>
      </c>
      <c r="BZ50" s="5" t="n">
        <v>16.241299999999999</v>
      </c>
      <c r="CA50" s="5" t="n">
        <v>29.219139999999999</v>
      </c>
      <c r="CB50" s="5" t="n">
        <v>83.758700000000005</v>
      </c>
      <c r="CC50" s="3" t="n">
        <v>4.2597864768683271</v>
      </c>
      <c r="CD50" s="3" t="n">
        <v>3.2857142857142856</v>
      </c>
      <c r="CE50" s="3" t="n">
        <v>3.0517241379310347</v>
      </c>
      <c r="CF50" s="3" t="n">
        <v>2.9168975069252077</v>
      </c>
      <c r="CG50" s="3" t="n">
        <v>3.906801007556675</v>
      </c>
      <c r="CH50" s="3" t="n">
        <v>2.9767981438515081</v>
      </c>
      <c r="CI50" s="3" t="n">
        <v>0.87407269704243795</v>
      </c>
      <c r="CJ50" s="3" t="n">
        <v>1.0705325489836133</v>
      </c>
      <c r="CK50" s="13" t="n">
        <v>1.1314379999999999</v>
      </c>
      <c r="CL50" s="13" t="n">
        <v>1.0604279999999999</v>
      </c>
      <c r="CM50" s="3" t="n">
        <v>0.92193705168358864</v>
      </c>
      <c r="CN50" s="3" t="n">
        <v>1.0622249997377553</v>
      </c>
      <c r="CO50" s="3" t="n">
        <v>0.90728269766344094</v>
      </c>
      <c r="CP50" s="3" t="n">
        <v>1.3885577558738889</v>
      </c>
      <c r="CQ50" s="3" t="n">
        <v>0.98748162275213103</v>
      </c>
      <c r="CR50" s="3" t="n">
        <v>0.94891899743999009</v>
      </c>
      <c r="CS50" s="6"/>
    </row>
    <row r="51">
      <c r="A51" s="6" t="n">
        <v>238</v>
      </c>
      <c r="B51" s="6" t="n">
        <v>0</v>
      </c>
      <c r="C51" s="3" t="n">
        <v>53.61</v>
      </c>
      <c r="D51" s="5" t="n">
        <v>163.69999999999999</v>
      </c>
      <c r="E51" s="5" t="n">
        <v>78.2</v>
      </c>
      <c r="F51" s="3" t="n">
        <v>29.181619759016549</v>
      </c>
      <c r="G51" s="6" t="n">
        <v>164</v>
      </c>
      <c r="H51" s="6" t="n">
        <v>74.2</v>
      </c>
      <c r="I51" s="3" t="n">
        <v>27.587745389649026</v>
      </c>
      <c r="J51" s="1"/>
      <c r="K51" s="1"/>
      <c r="L51" s="1"/>
      <c r="M51" s="1"/>
      <c r="N51" s="3" t="n">
        <v>62.96</v>
      </c>
      <c r="O51" s="1"/>
      <c r="P51" s="1"/>
      <c r="Q51" s="1"/>
      <c r="R51" s="1"/>
      <c r="S51" t="n">
        <v>74.650000000000006</v>
      </c>
      <c r="T51" s="6" t="n">
        <v>177</v>
      </c>
      <c r="U51" s="6" t="n">
        <v>72</v>
      </c>
      <c r="V51" s="6" t="n">
        <v>97</v>
      </c>
      <c r="W51" s="6" t="n">
        <v>16</v>
      </c>
      <c r="X51" s="5" t="n">
        <v>8</v>
      </c>
      <c r="Y51" s="3" t="n">
        <v>1.75</v>
      </c>
      <c r="Z51" s="3" t="n">
        <v>22.4</v>
      </c>
      <c r="AA51" s="5" t="n">
        <v>64.3</v>
      </c>
      <c r="AB51" s="6" t="n">
        <v>39</v>
      </c>
      <c r="AC51" s="3" t="n">
        <v>1.33</v>
      </c>
      <c r="AD51" s="6" t="n">
        <v>172</v>
      </c>
      <c r="AE51" s="3" t="n">
        <v>10.174418604651162</v>
      </c>
      <c r="AF51" s="3" t="n">
        <v>22.6</v>
      </c>
      <c r="AG51" s="3" t="n">
        <v>1.1200000000000001</v>
      </c>
      <c r="AH51" s="6" t="n">
        <v>105</v>
      </c>
      <c r="AI51" s="6" t="n">
        <v>68</v>
      </c>
      <c r="AJ51" s="6" t="n">
        <v>140</v>
      </c>
      <c r="AK51" s="6" t="n">
        <v>83</v>
      </c>
      <c r="AL51" s="6" t="n">
        <v>96</v>
      </c>
      <c r="AM51" s="6" t="n">
        <v>19</v>
      </c>
      <c r="AN51" s="3" t="n">
        <v>1.91</v>
      </c>
      <c r="AO51" s="3" t="n">
        <v>25.74</v>
      </c>
      <c r="AP51" s="5" t="n">
        <v>69.2</v>
      </c>
      <c r="AQ51" s="6" t="n">
        <v>38</v>
      </c>
      <c r="AR51" s="3" t="n">
        <v>1.22</v>
      </c>
      <c r="AS51" s="6" t="n">
        <v>161</v>
      </c>
      <c r="AT51" s="3" t="n">
        <v>25.7</v>
      </c>
      <c r="AU51" s="3" t="n">
        <v>1.57</v>
      </c>
      <c r="AV51" s="3" t="n">
        <v>11.863354037267081</v>
      </c>
      <c r="AW51" s="1"/>
      <c r="AX51" s="5" t="n">
        <v>8.6999999999999993</v>
      </c>
      <c r="AY51" s="3" t="n">
        <v>39.113</v>
      </c>
      <c r="AZ51" s="3" t="n">
        <v>36.332999999999998</v>
      </c>
      <c r="BA51" s="3" t="n">
        <v>46.461636828644501</v>
      </c>
      <c r="BB51" s="3" t="n">
        <v>32.435000000000002</v>
      </c>
      <c r="BC51" s="3" t="n">
        <v>43.712938005390839</v>
      </c>
      <c r="BD51" s="3" t="n">
        <v>39.192</v>
      </c>
      <c r="BE51" s="6" t="n">
        <v>13636</v>
      </c>
      <c r="BF51" s="6" t="n">
        <v>13866</v>
      </c>
      <c r="BG51" s="10" t="n">
        <v>133</v>
      </c>
      <c r="BH51" s="10" t="n">
        <v>69</v>
      </c>
      <c r="BI51" s="10" t="n">
        <v>9.1999999999999993</v>
      </c>
      <c r="BJ51" s="9" t="n">
        <v>49</v>
      </c>
      <c r="BK51" s="10" t="n">
        <v>114</v>
      </c>
      <c r="BL51" s="10" t="n">
        <v>67</v>
      </c>
      <c r="BM51" s="10" t="n">
        <v>7.64</v>
      </c>
      <c r="BN51" s="9" t="n">
        <v>66</v>
      </c>
      <c r="BQ51" s="3" t="n">
        <v>0</v>
      </c>
      <c r="BR51" s="3" t="n">
        <v>60</v>
      </c>
      <c r="BS51" s="12" t="n">
        <v>3428.84</v>
      </c>
      <c r="BT51" s="12" t="n">
        <v>3846.4050000000002</v>
      </c>
      <c r="BU51" s="12" t="n">
        <v>2533.0500000000002</v>
      </c>
      <c r="BV51" s="12" t="n">
        <v>3101.1190000000001</v>
      </c>
      <c r="BW51" s="12" t="n">
        <v>3099.797</v>
      </c>
      <c r="BX51" s="12" t="n">
        <v>3453.569</v>
      </c>
      <c r="BY51" s="5" t="n">
        <v>63.267809999999997</v>
      </c>
      <c r="BZ51" s="5" t="n">
        <v>47.290640000000003</v>
      </c>
      <c r="CA51" s="5" t="n">
        <v>36.732190000000003</v>
      </c>
      <c r="CB51" s="5" t="n">
        <v>52.709359999999997</v>
      </c>
      <c r="CC51" s="3" t="n">
        <v>4.5844660194174756</v>
      </c>
      <c r="CD51" s="3" t="n">
        <v>4.791666666666667</v>
      </c>
      <c r="CE51" s="3" t="n">
        <v>3.4581939799331103</v>
      </c>
      <c r="CF51" s="3" t="n">
        <v>3.5794392523364484</v>
      </c>
      <c r="CG51" s="3" t="n">
        <v>4.1707616707616708</v>
      </c>
      <c r="CH51" s="3" t="n">
        <v>4.152709359605911</v>
      </c>
      <c r="CI51" s="3" t="n">
        <v>1.3370311814059226</v>
      </c>
      <c r="CJ51" s="3" t="n">
        <v>1.2457520363340371</v>
      </c>
      <c r="CK51" s="13" t="n">
        <v>1.365229</v>
      </c>
      <c r="CL51" s="13" t="n">
        <v>1.1542410000000001</v>
      </c>
      <c r="CM51" s="3" t="n">
        <v>1.3454952385051746</v>
      </c>
      <c r="CN51" s="3" t="n">
        <v>1.2024398643099521</v>
      </c>
      <c r="CO51" s="3" t="n">
        <v>0.7802143697166497</v>
      </c>
      <c r="CP51" s="3" t="n">
        <v>0.74514597209925548</v>
      </c>
      <c r="CQ51" s="3" t="n">
        <v>1.7042073414614476</v>
      </c>
      <c r="CR51" s="3" t="n">
        <v>1.3350606058129901</v>
      </c>
      <c r="CS51" s="6"/>
    </row>
    <row r="52">
      <c r="A52" s="6" t="n">
        <v>240</v>
      </c>
      <c r="B52" s="6" t="n">
        <v>0</v>
      </c>
      <c r="C52" s="3" t="n">
        <v>51.03</v>
      </c>
      <c r="D52" s="5" t="n">
        <v>171</v>
      </c>
      <c r="E52" s="5" t="n">
        <v>82.5</v>
      </c>
      <c r="F52" s="3" t="n">
        <v>28.213809377244282</v>
      </c>
      <c r="G52" s="6" t="n">
        <v>171.5</v>
      </c>
      <c r="H52" s="6" t="n">
        <v>82.5</v>
      </c>
      <c r="I52" s="3" t="n">
        <v>28.049537182636485</v>
      </c>
      <c r="J52" s="3" t="n">
        <v>3.52</v>
      </c>
      <c r="K52" s="3" t="n">
        <v>2.8</v>
      </c>
      <c r="L52" s="3" t="n">
        <v>6.74</v>
      </c>
      <c r="M52" s="3" t="n">
        <v>1.49</v>
      </c>
      <c r="N52" s="3" t="n">
        <v>122.06</v>
      </c>
      <c r="O52" s="3" t="n">
        <v>3.57</v>
      </c>
      <c r="P52" s="3" t="n">
        <v>2.9</v>
      </c>
      <c r="Q52" s="3" t="n">
        <v>6.99</v>
      </c>
      <c r="R52" s="3" t="n">
        <v>1.49</v>
      </c>
      <c r="S52" t="n">
        <v>122.1</v>
      </c>
      <c r="T52" s="6" t="n">
        <v>206</v>
      </c>
      <c r="U52" s="6" t="n">
        <v>93</v>
      </c>
      <c r="V52" s="1"/>
      <c r="W52" s="6" t="n">
        <v>17</v>
      </c>
      <c r="X52" s="5" t="n">
        <v>11</v>
      </c>
      <c r="Y52" s="3" t="n">
        <v>2.64</v>
      </c>
      <c r="Z52" s="3" t="n">
        <v>32</v>
      </c>
      <c r="AA52" s="5" t="n">
        <v>95.9</v>
      </c>
      <c r="AB52" s="6" t="n">
        <v>47</v>
      </c>
      <c r="AC52" s="3" t="n">
        <v>1.2</v>
      </c>
      <c r="AD52" s="6" t="n">
        <v>175</v>
      </c>
      <c r="AE52" s="3" t="n">
        <v>15.085714285714285</v>
      </c>
      <c r="AF52" s="3" t="n">
        <v>25.1</v>
      </c>
      <c r="AG52" s="3" t="n">
        <v>2.1</v>
      </c>
      <c r="AH52" s="6" t="n">
        <v>129</v>
      </c>
      <c r="AI52" s="6" t="n">
        <v>84</v>
      </c>
      <c r="AJ52" s="1"/>
      <c r="AK52" s="1"/>
      <c r="AL52" s="1"/>
      <c r="AM52" s="6" t="n">
        <v>18</v>
      </c>
      <c r="AN52" s="3" t="n">
        <v>2.46</v>
      </c>
      <c r="AO52" s="3" t="n">
        <v>29.82</v>
      </c>
      <c r="AP52" s="5" t="n">
        <v>86.6</v>
      </c>
      <c r="AQ52" s="6" t="n">
        <v>45</v>
      </c>
      <c r="AR52" s="3" t="n">
        <v>1.17</v>
      </c>
      <c r="AS52" s="6" t="n">
        <v>174</v>
      </c>
      <c r="AT52" s="3" t="n">
        <v>24.5</v>
      </c>
      <c r="AU52" s="3" t="n">
        <v>1.97</v>
      </c>
      <c r="AV52" s="3" t="n">
        <v>14.137931034482758</v>
      </c>
      <c r="AW52" s="5" t="n">
        <v>7.5</v>
      </c>
      <c r="AX52" s="5" t="n">
        <v>9.5</v>
      </c>
      <c r="AY52" s="3" t="n">
        <v>49.679000000000002</v>
      </c>
      <c r="AZ52" s="3" t="n">
        <v>30.292000000000002</v>
      </c>
      <c r="BA52" s="3" t="n">
        <v>36.717575757575759</v>
      </c>
      <c r="BB52" s="3" t="n">
        <v>31.047999999999998</v>
      </c>
      <c r="BC52" s="3" t="n">
        <v>37.633939393939393</v>
      </c>
      <c r="BD52" s="3" t="n">
        <v>48.637</v>
      </c>
      <c r="BE52" s="6" t="n">
        <v>16787</v>
      </c>
      <c r="BF52" s="6" t="n">
        <v>16835</v>
      </c>
      <c r="BG52" s="10" t="n">
        <v>115</v>
      </c>
      <c r="BH52" s="10" t="n">
        <v>80</v>
      </c>
      <c r="BI52" s="10" t="n">
        <v>9.19</v>
      </c>
      <c r="BJ52" s="9" t="n">
        <v>58</v>
      </c>
      <c r="BK52" s="10" t="n">
        <v>133</v>
      </c>
      <c r="BL52" s="10" t="n">
        <v>86</v>
      </c>
      <c r="BM52" s="10" t="n">
        <v>11.45</v>
      </c>
      <c r="BN52" s="9" t="n">
        <v>54</v>
      </c>
      <c r="BQ52" s="3" t="n">
        <v>60</v>
      </c>
      <c r="BR52" s="3" t="n">
        <v>90</v>
      </c>
      <c r="BS52" s="12" t="n">
        <v>3469.837</v>
      </c>
      <c r="BT52" s="12" t="n">
        <v>4628.8879999999999</v>
      </c>
      <c r="BU52" s="12" t="n">
        <v>3430.3040000000001</v>
      </c>
      <c r="BV52" s="12" t="n">
        <v>3609.8879999999999</v>
      </c>
      <c r="BW52" s="12" t="n">
        <v>3447.2089999999998</v>
      </c>
      <c r="BX52" s="12" t="n">
        <v>4036.9940000000001</v>
      </c>
      <c r="BY52" s="5" t="n">
        <v>42.763159999999999</v>
      </c>
      <c r="BZ52" s="5" t="n">
        <v>41.914189999999998</v>
      </c>
      <c r="CA52" s="5" t="n">
        <v>57.236840000000001</v>
      </c>
      <c r="CB52" s="5" t="n">
        <v>58.085810000000002</v>
      </c>
      <c r="CC52" s="3" t="n">
        <v>3.046153846153846</v>
      </c>
      <c r="CD52" s="3" t="n">
        <v>3.4488188976377954</v>
      </c>
      <c r="CE52" s="3" t="n">
        <v>2.8199233716475094</v>
      </c>
      <c r="CF52" s="3" t="n">
        <v>2.6306818181818183</v>
      </c>
      <c r="CG52" s="3" t="n">
        <v>2.9166666666666665</v>
      </c>
      <c r="CH52" s="3" t="n">
        <v>2.9735973597359737</v>
      </c>
      <c r="CI52" s="3" t="n">
        <v>0.87789540508806052</v>
      </c>
      <c r="CJ52" s="3" t="n">
        <v>0.74506420480216007</v>
      </c>
      <c r="CK52" s="13" t="n">
        <v>0.82206199999999996</v>
      </c>
      <c r="CL52" s="13" t="n">
        <v>0.72874300000000003</v>
      </c>
      <c r="CM52" s="3" t="n">
        <v>0.84609499581822378</v>
      </c>
      <c r="CN52" s="3" t="n">
        <v>0.73658705828310922</v>
      </c>
      <c r="CO52" s="3" t="n">
        <v>1.0083080210189945</v>
      </c>
      <c r="CP52" s="3" t="n">
        <v>0.79755173261381596</v>
      </c>
      <c r="CQ52" s="3" t="n">
        <v>0.7780055844575684</v>
      </c>
      <c r="CR52" s="3" t="n">
        <v>1.6556027483133242</v>
      </c>
      <c r="CS52" s="6"/>
    </row>
    <row r="53">
      <c r="A53" s="6" t="n">
        <v>244</v>
      </c>
      <c r="B53" s="6" t="n">
        <v>0</v>
      </c>
      <c r="C53" s="3" t="n">
        <v>50.42</v>
      </c>
      <c r="D53" s="5" t="n">
        <v>164.5</v>
      </c>
      <c r="E53" s="5" t="n">
        <v>59.8</v>
      </c>
      <c r="F53" s="3" t="n">
        <v>22.098835007067564</v>
      </c>
      <c r="G53" s="6" t="n">
        <v>164.4</v>
      </c>
      <c r="H53" s="6" t="n">
        <v>57.9</v>
      </c>
      <c r="I53" s="3" t="n">
        <v>21.422736071891592</v>
      </c>
      <c r="J53" s="1"/>
      <c r="K53" s="1"/>
      <c r="L53" s="1"/>
      <c r="M53" s="1"/>
      <c r="N53" s="3" t="n">
        <v>90</v>
      </c>
      <c r="O53" s="3" t="n">
        <v>3.5</v>
      </c>
      <c r="P53" s="3" t="n">
        <v>2.46</v>
      </c>
      <c r="Q53" s="3" t="n">
        <v>7.39</v>
      </c>
      <c r="R53" s="3" t="n">
        <v>1.41</v>
      </c>
      <c r="S53" t="n">
        <v>91.93</v>
      </c>
      <c r="T53" s="6" t="n">
        <v>142</v>
      </c>
      <c r="U53" s="6" t="n">
        <v>61</v>
      </c>
      <c r="V53" s="6" t="n">
        <v>97</v>
      </c>
      <c r="W53" s="6" t="n">
        <v>16</v>
      </c>
      <c r="X53" s="5" t="n">
        <v>14</v>
      </c>
      <c r="Y53" s="3" t="n">
        <v>2.23</v>
      </c>
      <c r="Z53" s="3" t="n">
        <v>37.299999999999997</v>
      </c>
      <c r="AA53" s="5" t="n">
        <v>95.5</v>
      </c>
      <c r="AB53" s="6" t="n">
        <v>45</v>
      </c>
      <c r="AC53" s="3" t="n">
        <v>1.35</v>
      </c>
      <c r="AD53" s="6" t="n">
        <v>188</v>
      </c>
      <c r="AE53" s="3" t="n">
        <v>11.861702127659575</v>
      </c>
      <c r="AF53" s="3" t="n">
        <v>26.4</v>
      </c>
      <c r="AG53" s="3" t="n">
        <v>1.56</v>
      </c>
      <c r="AH53" s="6" t="n">
        <v>98</v>
      </c>
      <c r="AI53" s="6" t="n">
        <v>64</v>
      </c>
      <c r="AJ53" s="6" t="n">
        <v>145</v>
      </c>
      <c r="AK53" s="6" t="n">
        <v>65</v>
      </c>
      <c r="AL53" s="6" t="n">
        <v>98</v>
      </c>
      <c r="AM53" s="6" t="n">
        <v>19</v>
      </c>
      <c r="AN53" s="3" t="n">
        <v>2.21</v>
      </c>
      <c r="AO53" s="3" t="n">
        <v>38.17</v>
      </c>
      <c r="AP53" s="5" t="n">
        <v>83</v>
      </c>
      <c r="AQ53" s="6" t="n">
        <v>42</v>
      </c>
      <c r="AR53" s="3" t="n">
        <v>1.28</v>
      </c>
      <c r="AS53" s="6" t="n">
        <v>177</v>
      </c>
      <c r="AT53" s="3" t="n">
        <v>24.7</v>
      </c>
      <c r="AU53" s="3" t="n">
        <v>1.5</v>
      </c>
      <c r="AV53" s="3" t="n">
        <v>12.485875706214689</v>
      </c>
      <c r="AW53" s="5" t="n">
        <v>10.6</v>
      </c>
      <c r="AX53" s="5" t="n">
        <v>64</v>
      </c>
      <c r="AY53" s="3" t="n">
        <v>42.076000000000001</v>
      </c>
      <c r="AZ53" s="3" t="n">
        <v>15.782999999999999</v>
      </c>
      <c r="BA53" s="3" t="n">
        <v>26.392976588628763</v>
      </c>
      <c r="BB53" s="3" t="n">
        <v>14.15</v>
      </c>
      <c r="BC53" s="3" t="n">
        <v>24.438687392055268</v>
      </c>
      <c r="BD53" s="3" t="n">
        <v>41.844000000000001</v>
      </c>
      <c r="BE53" s="6" t="n">
        <v>14290</v>
      </c>
      <c r="BF53" s="6" t="n">
        <v>13847</v>
      </c>
      <c r="BG53" s="10" t="n">
        <v>140</v>
      </c>
      <c r="BH53" s="10" t="n">
        <v>81</v>
      </c>
      <c r="BI53" s="10" t="n">
        <v>11.37</v>
      </c>
      <c r="BJ53" s="9" t="n">
        <v>45</v>
      </c>
      <c r="BK53" s="10" t="n">
        <v>91</v>
      </c>
      <c r="BL53" s="10" t="n">
        <v>80</v>
      </c>
      <c r="BM53" s="10" t="n">
        <v>7.25</v>
      </c>
      <c r="BN53" s="9" t="n">
        <v>57</v>
      </c>
      <c r="BO53" s="5" t="n">
        <v>510.74820428629988</v>
      </c>
      <c r="BP53" s="3" t="n">
        <v>533.28948067329111</v>
      </c>
      <c r="BQ53" s="3" t="n">
        <v>90</v>
      </c>
      <c r="BR53" s="3" t="n">
        <v>390</v>
      </c>
      <c r="BS53" s="12" t="n">
        <v>3850.0940000000001</v>
      </c>
      <c r="BT53" s="12" t="n">
        <v>3822.53</v>
      </c>
      <c r="BU53" s="12" t="n">
        <v>2314.607</v>
      </c>
      <c r="BV53" s="12" t="n">
        <v>2297.567</v>
      </c>
      <c r="BW53" s="12" t="n">
        <v>2923.3040000000001</v>
      </c>
      <c r="BX53" s="12" t="n">
        <v>3115.4430000000002</v>
      </c>
      <c r="BY53" s="5" t="n">
        <v>39.641939999999998</v>
      </c>
      <c r="BZ53" s="5" t="n">
        <v>53.632480000000001</v>
      </c>
      <c r="CA53" s="5" t="n">
        <v>60.358060000000002</v>
      </c>
      <c r="CB53" s="5" t="n">
        <v>46.367519999999999</v>
      </c>
      <c r="CC53" s="3" t="n">
        <v>3.4451612903225808</v>
      </c>
      <c r="CD53" s="3" t="n">
        <v>3.2868525896414345</v>
      </c>
      <c r="CE53" s="3" t="n">
        <v>2.2542372881355934</v>
      </c>
      <c r="CF53" s="3" t="n">
        <v>2.5391705069124426</v>
      </c>
      <c r="CG53" s="3" t="n">
        <v>2.7263427109974425</v>
      </c>
      <c r="CH53" s="3" t="n">
        <v>2.9401709401709404</v>
      </c>
      <c r="CI53" s="3" t="n">
        <v>0.8948252107250535</v>
      </c>
      <c r="CJ53" s="3" t="n">
        <v>0.85986302600869868</v>
      </c>
      <c r="CK53" s="13" t="n">
        <v>0.97391799999999995</v>
      </c>
      <c r="CL53" s="13" t="n">
        <v>1.105156</v>
      </c>
      <c r="CM53" s="3" t="n">
        <v>0.93262375433629308</v>
      </c>
      <c r="CN53" s="3" t="n">
        <v>0.94374099896305663</v>
      </c>
      <c r="CO53" s="3" t="n">
        <v>1.241464232346317</v>
      </c>
      <c r="CP53" s="3" t="n">
        <v>1.5417441221569121</v>
      </c>
      <c r="CQ53" s="3" t="n">
        <v>1.5838821007919708</v>
      </c>
      <c r="CR53" s="3" t="n">
        <v>1.8735362830133686</v>
      </c>
      <c r="CS53" s="6"/>
    </row>
    <row r="54">
      <c r="A54" s="6" t="n">
        <v>251</v>
      </c>
      <c r="B54" s="6" t="n">
        <v>0</v>
      </c>
      <c r="C54" s="3" t="n">
        <v>49.91</v>
      </c>
      <c r="D54" s="5" t="n">
        <v>162</v>
      </c>
      <c r="E54" s="5" t="n">
        <v>72.8</v>
      </c>
      <c r="F54" s="3" t="n">
        <v>27.739673830208805</v>
      </c>
      <c r="G54" s="6" t="n">
        <v>162.19999999999999</v>
      </c>
      <c r="H54" s="6" t="n">
        <v>72</v>
      </c>
      <c r="I54" s="3" t="n">
        <v>27.367227137342432</v>
      </c>
      <c r="J54" s="1"/>
      <c r="K54" s="1"/>
      <c r="L54" s="1"/>
      <c r="M54" s="1"/>
      <c r="N54" s="3" t="n">
        <v>115.88</v>
      </c>
      <c r="O54" s="3" t="n">
        <v>3.66</v>
      </c>
      <c r="P54" s="3" t="n">
        <v>2.79</v>
      </c>
      <c r="Q54" s="3" t="n">
        <v>7.37</v>
      </c>
      <c r="R54" s="3" t="n">
        <v>1.5</v>
      </c>
      <c r="S54" t="n">
        <v>107.65</v>
      </c>
      <c r="T54" s="1"/>
      <c r="U54" s="1"/>
      <c r="V54" s="6" t="n">
        <v>92</v>
      </c>
      <c r="W54" s="6" t="n">
        <v>17</v>
      </c>
      <c r="X54" s="5" t="n">
        <v>10.5</v>
      </c>
      <c r="Y54" s="3" t="n">
        <v>2.14</v>
      </c>
      <c r="Z54" s="3" t="n">
        <v>29.4</v>
      </c>
      <c r="AA54" s="5" t="n">
        <v>83.2</v>
      </c>
      <c r="AB54" s="6" t="n">
        <v>40</v>
      </c>
      <c r="AC54" s="3" t="n">
        <v>1.21</v>
      </c>
      <c r="AD54" s="6" t="n">
        <v>192</v>
      </c>
      <c r="AE54" s="3" t="n">
        <v>11.145833333333334</v>
      </c>
      <c r="AF54" s="3" t="n">
        <v>29.7</v>
      </c>
      <c r="AG54" s="3" t="n">
        <v>1.58</v>
      </c>
      <c r="AH54" s="6" t="n">
        <v>138</v>
      </c>
      <c r="AI54" s="6" t="n">
        <v>88</v>
      </c>
      <c r="AJ54" s="6" t="n">
        <v>207</v>
      </c>
      <c r="AK54" s="6" t="n">
        <v>66</v>
      </c>
      <c r="AL54" s="6" t="n">
        <v>95</v>
      </c>
      <c r="AM54" s="6" t="n">
        <v>17</v>
      </c>
      <c r="AN54" s="3" t="n">
        <v>2.25</v>
      </c>
      <c r="AO54" s="3" t="n">
        <v>31.25</v>
      </c>
      <c r="AP54" s="5" t="n">
        <v>81.7</v>
      </c>
      <c r="AQ54" s="6" t="n">
        <v>39</v>
      </c>
      <c r="AR54" s="3" t="n">
        <v>1.22</v>
      </c>
      <c r="AS54" s="6" t="n">
        <v>185</v>
      </c>
      <c r="AT54" s="3" t="n">
        <v>23.7</v>
      </c>
      <c r="AU54" s="3" t="n">
        <v>1.46</v>
      </c>
      <c r="AV54" s="3" t="n">
        <v>12.162162162162161</v>
      </c>
      <c r="AW54" s="5" t="n">
        <v>9.6</v>
      </c>
      <c r="AX54" s="1"/>
      <c r="AY54" s="3" t="n">
        <v>37.886000000000003</v>
      </c>
      <c r="AZ54" s="3" t="n">
        <v>32.686999999999998</v>
      </c>
      <c r="BA54" s="3" t="n">
        <v>44.89972527472527</v>
      </c>
      <c r="BB54" s="3" t="n">
        <v>33.131</v>
      </c>
      <c r="BC54" s="3" t="n">
        <v>46.015277777777783</v>
      </c>
      <c r="BD54" s="3" t="n">
        <v>36.686</v>
      </c>
      <c r="BE54" s="6" t="n">
        <v>13794</v>
      </c>
      <c r="BF54" s="6" t="n">
        <v>13433</v>
      </c>
      <c r="BG54" s="10" t="n">
        <v>167</v>
      </c>
      <c r="BH54" s="10" t="n">
        <v>69</v>
      </c>
      <c r="BI54" s="10" t="n">
        <v>11.49</v>
      </c>
      <c r="BJ54" s="9" t="n">
        <v>38</v>
      </c>
      <c r="BK54" s="10"/>
      <c r="BL54" s="10"/>
      <c r="BM54" s="10"/>
      <c r="BN54" s="9"/>
      <c r="BO54" s="3" t="n">
        <v>543.19361619437132</v>
      </c>
      <c r="BP54" s="5" t="n">
        <v>629.41471509168105</v>
      </c>
      <c r="BQ54" s="3" t="n">
        <v>0</v>
      </c>
      <c r="BR54" s="3" t="n">
        <v>120</v>
      </c>
      <c r="BS54" s="12" t="n">
        <v>2674.547</v>
      </c>
      <c r="BT54" s="12" t="n">
        <v>3280.328</v>
      </c>
      <c r="BU54" s="12" t="n">
        <v>2896.51</v>
      </c>
      <c r="BV54" s="12" t="n">
        <v>3421.1370000000002</v>
      </c>
      <c r="BW54" s="12" t="n">
        <v>2793.4560000000001</v>
      </c>
      <c r="BX54" s="12" t="n">
        <v>3349.75</v>
      </c>
      <c r="BY54" s="5" t="n">
        <v>46.428570000000001</v>
      </c>
      <c r="BZ54" s="5" t="n">
        <v>50.697670000000002</v>
      </c>
      <c r="CA54" s="5" t="n">
        <v>53.571429999999999</v>
      </c>
      <c r="CB54" s="5" t="n">
        <v>49.302329999999998</v>
      </c>
      <c r="CC54" s="3" t="n">
        <v>3.0470085470085468</v>
      </c>
      <c r="CD54" s="3" t="n">
        <v>3.3532110091743119</v>
      </c>
      <c r="CE54" s="3" t="n">
        <v>2.5925925925925926</v>
      </c>
      <c r="CF54" s="3" t="n">
        <v>3.0424528301886791</v>
      </c>
      <c r="CG54" s="3" t="n">
        <v>2.8035714285714284</v>
      </c>
      <c r="CH54" s="3" t="n">
        <v>3.2</v>
      </c>
      <c r="CI54" s="3" t="n">
        <v>1.1392615958255536</v>
      </c>
      <c r="CJ54" s="3" t="n">
        <v>1.022218142050705</v>
      </c>
      <c r="CK54" s="13" t="n">
        <v>0.89507499999999995</v>
      </c>
      <c r="CL54" s="13" t="n">
        <v>0.88931099999999996</v>
      </c>
      <c r="CM54" s="3" t="n">
        <v>1.0036212565581466</v>
      </c>
      <c r="CN54" s="3" t="n">
        <v>0.95529515801706555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G1" zoomScale="115" zoomScaleNormal="115" workbookViewId="0">
      <selection activeCell="J31" sqref="J31"/>
    </sheetView>
  </sheetViews>
  <sheetFormatPr defaultRowHeight="15.0" baseColWidth="10"/>
  <cols>
    <col min="1" max="1" width="62" hidden="0" customWidth="1"/>
    <col min="2" max="2" width="15" hidden="0" customWidth="1"/>
    <col min="3" max="3" width="39.7109375" hidden="0" customWidth="1"/>
    <col min="4" max="4" width="33.28515625" hidden="0" customWidth="1"/>
    <col min="5" max="5" width="27.5703125" hidden="0" customWidth="1"/>
    <col min="6" max="6" width="37" hidden="0" customWidth="1"/>
    <col min="7" max="7" width="31.5703125" hidden="0" customWidth="1"/>
    <col min="8" max="8" width="39.42578125" hidden="0" customWidth="1"/>
    <col min="10" max="10" width="62" hidden="0" customWidth="1"/>
  </cols>
  <sheetData>
    <row r="1">
      <c r="A1" t="s">
        <v>46</v>
      </c>
    </row>
    <row r="2">
      <c r="A2" t="s">
        <v>61</v>
      </c>
      <c r="C2" s="14" t="s">
        <v>150</v>
      </c>
      <c r="D2" s="14" t="s">
        <v>132</v>
      </c>
      <c r="E2" s="14" t="s">
        <v>140</v>
      </c>
      <c r="F2" s="14" t="s">
        <v>144</v>
      </c>
      <c r="G2" s="14" t="s">
        <v>146</v>
      </c>
      <c r="H2" s="14" t="s">
        <v>148</v>
      </c>
      <c r="J2" s="14" t="s">
        <v>161</v>
      </c>
      <c r="L2" s="14" t="s">
        <v>161</v>
      </c>
    </row>
    <row r="3">
      <c r="A3" t="s">
        <v>113</v>
      </c>
      <c r="C3" t="s">
        <v>151</v>
      </c>
      <c r="D3" t="s">
        <v>133</v>
      </c>
      <c r="E3" t="s">
        <v>141</v>
      </c>
      <c r="F3" t="s">
        <v>145</v>
      </c>
      <c r="G3" t="s">
        <v>147</v>
      </c>
      <c r="H3" t="s">
        <v>149</v>
      </c>
      <c r="J3" t="s">
        <v>61</v>
      </c>
      <c r="L3" t="s">
        <v>61</v>
      </c>
    </row>
    <row r="4">
      <c r="A4" t="s">
        <v>114</v>
      </c>
      <c r="C4" t="s">
        <v>152</v>
      </c>
      <c r="D4" t="s">
        <v>134</v>
      </c>
      <c r="E4" t="s">
        <v>142</v>
      </c>
      <c r="F4" s="16" t="s">
        <v>5</v>
      </c>
      <c r="G4" s="16" t="s">
        <v>63</v>
      </c>
      <c r="H4" t="s">
        <v>160</v>
      </c>
      <c r="J4" t="s">
        <v>113</v>
      </c>
      <c r="L4" t="s">
        <v>113</v>
      </c>
    </row>
    <row r="5">
      <c r="A5" t="s">
        <v>115</v>
      </c>
      <c r="C5" t="s">
        <v>153</v>
      </c>
      <c r="D5" t="s">
        <v>135</v>
      </c>
      <c r="E5" t="s">
        <v>143</v>
      </c>
      <c r="F5" s="15" t="s">
        <v>11</v>
      </c>
      <c r="G5" s="15" t="s">
        <v>62</v>
      </c>
      <c r="H5" s="16" t="s">
        <v>111</v>
      </c>
      <c r="J5" t="s">
        <v>114</v>
      </c>
      <c r="L5" t="s">
        <v>114</v>
      </c>
    </row>
    <row r="6">
      <c r="A6" t="s">
        <v>116</v>
      </c>
      <c r="C6" t="s">
        <v>154</v>
      </c>
      <c r="D6" t="s">
        <v>136</v>
      </c>
      <c r="E6" s="16" t="s">
        <v>126</v>
      </c>
      <c r="H6" s="15" t="s">
        <v>112</v>
      </c>
      <c r="J6" t="s">
        <v>115</v>
      </c>
      <c r="L6" t="s">
        <v>115</v>
      </c>
    </row>
    <row r="7">
      <c r="A7" t="s">
        <v>117</v>
      </c>
      <c r="C7" t="s">
        <v>155</v>
      </c>
      <c r="D7" t="s">
        <v>137</v>
      </c>
      <c r="E7" s="15" t="s">
        <v>127</v>
      </c>
      <c r="H7" s="15" t="s">
        <v>109</v>
      </c>
      <c r="J7" t="s">
        <v>116</v>
      </c>
      <c r="L7" t="s">
        <v>116</v>
      </c>
    </row>
    <row r="8">
      <c r="A8" t="s">
        <v>118</v>
      </c>
      <c r="C8" t="s">
        <v>156</v>
      </c>
      <c r="D8" t="s">
        <v>138</v>
      </c>
      <c r="E8" s="15" t="s">
        <v>124</v>
      </c>
      <c r="H8" s="15" t="s">
        <v>110</v>
      </c>
      <c r="J8" t="s">
        <v>117</v>
      </c>
      <c r="L8" t="s">
        <v>117</v>
      </c>
    </row>
    <row r="9">
      <c r="A9" s="14" t="s">
        <v>119</v>
      </c>
      <c r="C9" t="s">
        <v>157</v>
      </c>
      <c r="D9" t="s">
        <v>139</v>
      </c>
      <c r="E9" s="15" t="s">
        <v>129</v>
      </c>
      <c r="J9" t="s">
        <v>118</v>
      </c>
      <c r="L9" t="s">
        <v>118</v>
      </c>
    </row>
    <row r="10">
      <c r="A10" t="s">
        <v>1</v>
      </c>
      <c r="C10" t="s">
        <v>158</v>
      </c>
      <c r="D10" s="16" t="s">
        <v>17</v>
      </c>
      <c r="E10" s="15" t="s">
        <v>125</v>
      </c>
      <c r="J10" t="s">
        <v>119</v>
      </c>
      <c r="L10" t="s">
        <v>119</v>
      </c>
    </row>
    <row r="11">
      <c r="A11" t="s">
        <v>2</v>
      </c>
      <c r="C11" t="s">
        <v>159</v>
      </c>
      <c r="D11" s="15" t="s">
        <v>18</v>
      </c>
      <c r="E11" s="15" t="s">
        <v>130</v>
      </c>
      <c r="L11" s="16" t="s">
        <v>64</v>
      </c>
    </row>
    <row r="12">
      <c r="A12" t="s">
        <v>3</v>
      </c>
      <c r="C12" s="16" t="s">
        <v>64</v>
      </c>
      <c r="D12" s="15" t="s">
        <v>32</v>
      </c>
      <c r="L12" s="15" t="s">
        <v>65</v>
      </c>
    </row>
    <row r="13">
      <c r="A13" t="s">
        <v>4</v>
      </c>
      <c r="C13" s="15" t="s">
        <v>65</v>
      </c>
      <c r="D13" s="15" t="s">
        <v>33</v>
      </c>
      <c r="L13" s="15" t="s">
        <v>66</v>
      </c>
    </row>
    <row r="14">
      <c r="A14" t="s">
        <v>5</v>
      </c>
      <c r="C14" s="15" t="s">
        <v>66</v>
      </c>
      <c r="D14" s="15" t="s">
        <v>22</v>
      </c>
      <c r="J14" s="14" t="s">
        <v>162</v>
      </c>
      <c r="L14" s="15" t="s">
        <v>67</v>
      </c>
    </row>
    <row r="15">
      <c r="A15" t="s">
        <v>7</v>
      </c>
      <c r="C15" s="15" t="s">
        <v>67</v>
      </c>
      <c r="D15" s="15" t="s">
        <v>37</v>
      </c>
      <c r="J15" t="s">
        <v>163</v>
      </c>
      <c r="L15" s="15" t="s">
        <v>68</v>
      </c>
    </row>
    <row r="16">
      <c r="A16" t="s">
        <v>8</v>
      </c>
      <c r="C16" s="15" t="s">
        <v>68</v>
      </c>
      <c r="D16" s="15" t="s">
        <v>23</v>
      </c>
      <c r="J16" t="s">
        <v>164</v>
      </c>
      <c r="L16" s="15" t="s">
        <v>69</v>
      </c>
    </row>
    <row r="17">
      <c r="A17" t="s">
        <v>9</v>
      </c>
      <c r="C17" s="15" t="s">
        <v>69</v>
      </c>
      <c r="D17" s="15" t="s">
        <v>40</v>
      </c>
      <c r="L17" s="15" t="s">
        <v>70</v>
      </c>
    </row>
    <row r="18">
      <c r="A18" t="s">
        <v>10</v>
      </c>
      <c r="C18" s="15" t="s">
        <v>70</v>
      </c>
      <c r="J18" s="14" t="s">
        <v>165</v>
      </c>
      <c r="L18" s="15" t="s">
        <v>71</v>
      </c>
    </row>
    <row r="19">
      <c r="A19" t="s">
        <v>11</v>
      </c>
      <c r="C19" s="15" t="s">
        <v>71</v>
      </c>
      <c r="J19" t="s">
        <v>166</v>
      </c>
      <c r="L19" s="15" t="s">
        <v>72</v>
      </c>
    </row>
    <row r="20">
      <c r="A20" t="s">
        <v>12</v>
      </c>
      <c r="C20" s="15" t="s">
        <v>72</v>
      </c>
      <c r="D20" s="15" t="s">
        <v>21</v>
      </c>
      <c r="L20" s="15" t="s">
        <v>73</v>
      </c>
    </row>
    <row r="21">
      <c r="A21" t="s">
        <v>13</v>
      </c>
      <c r="C21" s="15" t="s">
        <v>73</v>
      </c>
      <c r="D21" s="15" t="s">
        <v>36</v>
      </c>
      <c r="J21" s="14" t="s">
        <v>167</v>
      </c>
      <c r="L21" s="15" t="s">
        <v>74</v>
      </c>
    </row>
    <row r="22">
      <c r="A22" t="s">
        <v>14</v>
      </c>
      <c r="C22" s="15" t="s">
        <v>74</v>
      </c>
      <c r="D22" s="15" t="s">
        <v>19</v>
      </c>
      <c r="J22" t="s">
        <v>168</v>
      </c>
      <c r="L22" s="15" t="s">
        <v>75</v>
      </c>
    </row>
    <row r="23">
      <c r="A23" t="s">
        <v>15</v>
      </c>
      <c r="C23" s="15" t="s">
        <v>75</v>
      </c>
      <c r="D23" s="15" t="s">
        <v>34</v>
      </c>
      <c r="L23" s="15" t="s">
        <v>76</v>
      </c>
    </row>
    <row r="24">
      <c r="A24" t="s">
        <v>16</v>
      </c>
      <c r="C24" s="15" t="s">
        <v>76</v>
      </c>
      <c r="J24" s="14" t="s">
        <v>169</v>
      </c>
      <c r="L24" s="15" t="s">
        <v>77</v>
      </c>
    </row>
    <row r="25">
      <c r="A25" t="s">
        <v>17</v>
      </c>
      <c r="C25" s="15" t="s">
        <v>77</v>
      </c>
      <c r="J25" t="s">
        <v>95</v>
      </c>
      <c r="L25" s="15" t="s">
        <v>78</v>
      </c>
    </row>
    <row r="26">
      <c r="A26" t="s">
        <v>18</v>
      </c>
      <c r="C26" s="15" t="s">
        <v>78</v>
      </c>
      <c r="D26" s="15" t="s">
        <v>15</v>
      </c>
      <c r="J26" t="s">
        <v>101</v>
      </c>
      <c r="L26" s="15" t="s">
        <v>79</v>
      </c>
    </row>
    <row r="27">
      <c r="A27" t="s">
        <v>19</v>
      </c>
      <c r="C27" s="15" t="s">
        <v>79</v>
      </c>
      <c r="D27" s="15" t="s">
        <v>31</v>
      </c>
      <c r="J27" t="s">
        <v>105</v>
      </c>
      <c r="L27" s="15" t="s">
        <v>80</v>
      </c>
    </row>
    <row r="28">
      <c r="A28" t="s">
        <v>20</v>
      </c>
      <c r="C28" s="15" t="s">
        <v>80</v>
      </c>
      <c r="J28" t="s">
        <v>107</v>
      </c>
      <c r="L28" s="15" t="s">
        <v>81</v>
      </c>
    </row>
    <row r="29">
      <c r="A29" t="s">
        <v>21</v>
      </c>
      <c r="C29" s="15" t="s">
        <v>81</v>
      </c>
      <c r="L29" s="15" t="s">
        <v>82</v>
      </c>
    </row>
    <row r="30">
      <c r="A30" t="s">
        <v>22</v>
      </c>
      <c r="C30" s="15" t="s">
        <v>82</v>
      </c>
      <c r="L30" s="15" t="s">
        <v>83</v>
      </c>
    </row>
    <row r="31">
      <c r="A31" t="s">
        <v>23</v>
      </c>
      <c r="C31" s="15" t="s">
        <v>83</v>
      </c>
      <c r="L31" s="15" t="s">
        <v>84</v>
      </c>
    </row>
    <row r="32">
      <c r="A32" t="s">
        <v>24</v>
      </c>
      <c r="C32" s="15" t="s">
        <v>84</v>
      </c>
      <c r="L32" s="15" t="s">
        <v>85</v>
      </c>
    </row>
    <row r="33">
      <c r="A33" t="s">
        <v>25</v>
      </c>
      <c r="C33" s="15" t="s">
        <v>85</v>
      </c>
      <c r="L33" s="15" t="s">
        <v>86</v>
      </c>
    </row>
    <row r="34">
      <c r="A34" t="s">
        <v>26</v>
      </c>
      <c r="B34" t="s">
        <v>173</v>
      </c>
      <c r="C34" s="15" t="s">
        <v>86</v>
      </c>
      <c r="L34" s="15" t="s">
        <v>87</v>
      </c>
    </row>
    <row r="35">
      <c r="A35" t="s">
        <v>27</v>
      </c>
      <c r="C35" s="15" t="s">
        <v>87</v>
      </c>
      <c r="L35" s="15" t="s">
        <v>88</v>
      </c>
    </row>
    <row r="36">
      <c r="A36" t="s">
        <v>28</v>
      </c>
      <c r="C36" s="15" t="s">
        <v>88</v>
      </c>
      <c r="L36" s="15" t="s">
        <v>89</v>
      </c>
    </row>
    <row r="37">
      <c r="A37" t="s">
        <v>29</v>
      </c>
      <c r="C37" s="15" t="s">
        <v>89</v>
      </c>
      <c r="L37" s="16" t="s">
        <v>17</v>
      </c>
    </row>
    <row r="38">
      <c r="A38" t="s">
        <v>30</v>
      </c>
      <c r="L38" s="15" t="s">
        <v>18</v>
      </c>
    </row>
    <row r="39">
      <c r="A39" t="s">
        <v>31</v>
      </c>
      <c r="L39" s="15" t="s">
        <v>32</v>
      </c>
    </row>
    <row r="40">
      <c r="A40" t="s">
        <v>32</v>
      </c>
      <c r="L40" s="15" t="s">
        <v>33</v>
      </c>
    </row>
    <row r="41">
      <c r="A41" t="s">
        <v>33</v>
      </c>
      <c r="L41" s="15" t="s">
        <v>22</v>
      </c>
    </row>
    <row r="42">
      <c r="A42" t="s">
        <v>34</v>
      </c>
      <c r="L42" s="15" t="s">
        <v>37</v>
      </c>
    </row>
    <row r="43">
      <c r="A43" t="s">
        <v>35</v>
      </c>
      <c r="L43" s="15" t="s">
        <v>23</v>
      </c>
    </row>
    <row r="44">
      <c r="A44" t="s">
        <v>36</v>
      </c>
      <c r="L44" s="15" t="s">
        <v>40</v>
      </c>
    </row>
    <row r="45">
      <c r="A45" t="s">
        <v>37</v>
      </c>
      <c r="L45" s="15" t="s">
        <v>15</v>
      </c>
    </row>
    <row r="46">
      <c r="A46" t="s">
        <v>38</v>
      </c>
      <c r="L46" s="15" t="s">
        <v>31</v>
      </c>
    </row>
    <row r="47">
      <c r="A47" t="s">
        <v>39</v>
      </c>
      <c r="L47" s="15" t="s">
        <v>21</v>
      </c>
    </row>
    <row r="48">
      <c r="A48" t="s">
        <v>40</v>
      </c>
      <c r="L48" s="15" t="s">
        <v>36</v>
      </c>
    </row>
    <row r="49">
      <c r="A49" t="s">
        <v>48</v>
      </c>
      <c r="L49" s="15" t="s">
        <v>19</v>
      </c>
    </row>
    <row r="50">
      <c r="A50" t="s">
        <v>49</v>
      </c>
      <c r="L50" s="15" t="s">
        <v>34</v>
      </c>
    </row>
    <row r="51">
      <c r="A51" t="s">
        <v>111</v>
      </c>
      <c r="L51" s="16" t="s">
        <v>126</v>
      </c>
    </row>
    <row r="52">
      <c r="A52" t="s">
        <v>42</v>
      </c>
      <c r="L52" s="15" t="s">
        <v>127</v>
      </c>
    </row>
    <row r="53">
      <c r="A53" t="s">
        <v>43</v>
      </c>
      <c r="L53" s="15" t="s">
        <v>124</v>
      </c>
    </row>
    <row r="54">
      <c r="A54" t="s">
        <v>44</v>
      </c>
      <c r="L54" s="15" t="s">
        <v>129</v>
      </c>
    </row>
    <row r="55">
      <c r="A55" t="s">
        <v>45</v>
      </c>
      <c r="L55" s="15" t="s">
        <v>125</v>
      </c>
    </row>
    <row r="56">
      <c r="A56" t="s">
        <v>112</v>
      </c>
      <c r="L56" s="15" t="s">
        <v>130</v>
      </c>
    </row>
    <row r="57">
      <c r="A57" t="s">
        <v>109</v>
      </c>
      <c r="L57" s="16" t="s">
        <v>5</v>
      </c>
    </row>
    <row r="58">
      <c r="A58" t="s">
        <v>110</v>
      </c>
      <c r="L58" s="15" t="s">
        <v>11</v>
      </c>
    </row>
    <row r="59">
      <c r="A59" t="s">
        <v>126</v>
      </c>
      <c r="L59" s="16" t="s">
        <v>63</v>
      </c>
    </row>
    <row r="60">
      <c r="A60" t="s">
        <v>131</v>
      </c>
      <c r="L60" s="15" t="s">
        <v>62</v>
      </c>
    </row>
    <row r="61">
      <c r="A61" t="s">
        <v>124</v>
      </c>
      <c r="L61" s="16" t="s">
        <v>111</v>
      </c>
    </row>
    <row r="62">
      <c r="A62" t="s">
        <v>125</v>
      </c>
      <c r="L62" s="15" t="s">
        <v>112</v>
      </c>
    </row>
    <row r="63">
      <c r="A63" t="s">
        <v>127</v>
      </c>
      <c r="L63" s="15" t="s">
        <v>109</v>
      </c>
    </row>
    <row r="64">
      <c r="A64" t="s">
        <v>128</v>
      </c>
      <c r="L64" s="15" t="s">
        <v>110</v>
      </c>
    </row>
    <row r="65">
      <c r="A65" t="s">
        <v>129</v>
      </c>
    </row>
    <row r="66">
      <c r="A66" t="s">
        <v>130</v>
      </c>
    </row>
    <row r="67">
      <c r="A67" t="s">
        <v>63</v>
      </c>
    </row>
    <row r="68">
      <c r="A68" t="s">
        <v>62</v>
      </c>
    </row>
    <row r="69">
      <c r="A69" t="s">
        <v>50</v>
      </c>
    </row>
    <row r="70">
      <c r="A70" t="s">
        <v>51</v>
      </c>
    </row>
    <row r="71">
      <c r="A71" t="s">
        <v>64</v>
      </c>
    </row>
    <row r="72">
      <c r="A72" t="s">
        <v>65</v>
      </c>
    </row>
    <row r="73">
      <c r="A73" t="s">
        <v>66</v>
      </c>
    </row>
    <row r="74">
      <c r="A74" t="s">
        <v>67</v>
      </c>
    </row>
    <row r="75">
      <c r="A75" t="s">
        <v>68</v>
      </c>
    </row>
    <row r="76">
      <c r="A76" t="s">
        <v>69</v>
      </c>
    </row>
    <row r="77">
      <c r="A77" t="s">
        <v>70</v>
      </c>
    </row>
    <row r="78">
      <c r="A78" t="s">
        <v>71</v>
      </c>
    </row>
    <row r="79">
      <c r="A79" t="s">
        <v>72</v>
      </c>
    </row>
    <row r="80">
      <c r="A80" t="s">
        <v>73</v>
      </c>
    </row>
    <row r="81">
      <c r="A81" t="s">
        <v>74</v>
      </c>
    </row>
    <row r="82">
      <c r="A82" t="s">
        <v>75</v>
      </c>
    </row>
    <row r="83">
      <c r="A83" t="s">
        <v>76</v>
      </c>
    </row>
    <row r="84">
      <c r="A84" t="s">
        <v>77</v>
      </c>
    </row>
    <row r="85">
      <c r="A85" t="s">
        <v>78</v>
      </c>
    </row>
    <row r="86">
      <c r="A86" t="s">
        <v>79</v>
      </c>
    </row>
    <row r="87">
      <c r="A87" t="s">
        <v>80</v>
      </c>
    </row>
    <row r="88">
      <c r="A88" t="s">
        <v>81</v>
      </c>
    </row>
    <row r="89">
      <c r="A89" t="s">
        <v>82</v>
      </c>
    </row>
    <row r="90">
      <c r="A90" t="s">
        <v>83</v>
      </c>
    </row>
    <row r="91">
      <c r="A91" t="s">
        <v>84</v>
      </c>
    </row>
    <row r="92">
      <c r="A92" t="s">
        <v>85</v>
      </c>
    </row>
    <row r="93">
      <c r="A93" t="s">
        <v>86</v>
      </c>
    </row>
    <row r="94">
      <c r="A94" t="s">
        <v>87</v>
      </c>
    </row>
    <row r="95">
      <c r="A95" t="s">
        <v>88</v>
      </c>
    </row>
    <row r="96">
      <c r="A96" t="s">
        <v>89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10" sqref="B2:K10"/>
    </sheetView>
  </sheetViews>
  <sheetFormatPr defaultRowHeight="15.0" baseColWidth="10"/>
  <cols>
    <col min="2" max="2" width="15.85546875" hidden="0" customWidth="1"/>
  </cols>
  <sheetData>
    <row r="11">
      <c r="A11" t="s">
        <v>174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50" workbookViewId="0">
      <selection activeCell="B8" sqref="B8"/>
    </sheetView>
  </sheetViews>
  <sheetFormatPr defaultRowHeight="15.0" baseColWidth="10"/>
  <cols>
    <col min="1" max="1" width="16.28515625" hidden="0" customWidth="1"/>
    <col min="2" max="2" width="95.28515625" hidden="0" customWidth="1"/>
    <col min="3" max="3" width="27.140625" hidden="0" customWidth="1"/>
  </cols>
  <sheetData>
    <row r="4">
      <c r="A4" s="14" t="s">
        <v>120</v>
      </c>
    </row>
    <row r="5">
      <c r="A5" t="n">
        <v>1</v>
      </c>
      <c r="B5" t="s">
        <v>121</v>
      </c>
    </row>
    <row r="6">
      <c r="A6" t="n">
        <v>2</v>
      </c>
      <c r="B6" t="s">
        <v>122</v>
      </c>
    </row>
    <row r="7">
      <c r="A7" t="n">
        <v>0</v>
      </c>
      <c r="B7" t="s">
        <v>123</v>
      </c>
    </row>
    <row r="9">
      <c r="A9" s="14" t="s">
        <v>41</v>
      </c>
    </row>
    <row r="10">
      <c r="A10" s="8" t="s">
        <v>126</v>
      </c>
      <c r="B10" s="17" t="s">
        <v>52</v>
      </c>
      <c r="C10" s="18"/>
    </row>
    <row r="11" ht="30" customHeight="1">
      <c r="A11" s="7" t="s">
        <v>131</v>
      </c>
      <c r="B11" s="17" t="s">
        <v>53</v>
      </c>
      <c r="C11" s="18" t="s">
        <v>54</v>
      </c>
    </row>
    <row r="12" ht="30" customHeight="1">
      <c r="A12" s="8" t="s">
        <v>124</v>
      </c>
      <c r="B12" s="17" t="s">
        <v>55</v>
      </c>
      <c r="C12" s="18" t="s">
        <v>54</v>
      </c>
    </row>
    <row r="13">
      <c r="A13" s="8" t="s">
        <v>125</v>
      </c>
      <c r="B13" s="17" t="s">
        <v>56</v>
      </c>
      <c r="C13" s="18"/>
    </row>
    <row r="14">
      <c r="A14" s="8" t="s">
        <v>127</v>
      </c>
      <c r="B14" s="17" t="s">
        <v>57</v>
      </c>
      <c r="C14" s="18"/>
    </row>
    <row r="15" ht="30" customHeight="1">
      <c r="A15" s="8" t="s">
        <v>128</v>
      </c>
      <c r="B15" s="17" t="s">
        <v>58</v>
      </c>
      <c r="C15" s="18" t="s">
        <v>54</v>
      </c>
    </row>
    <row r="16" ht="30" customHeight="1">
      <c r="A16" s="8" t="s">
        <v>129</v>
      </c>
      <c r="B16" s="17" t="s">
        <v>59</v>
      </c>
      <c r="C16" s="18" t="s">
        <v>54</v>
      </c>
    </row>
    <row r="17">
      <c r="A17" s="8" t="s">
        <v>130</v>
      </c>
      <c r="B17" s="17" t="s">
        <v>60</v>
      </c>
      <c r="C17" s="18"/>
    </row>
    <row r="19">
      <c r="A19" s="19" t="s">
        <v>90</v>
      </c>
    </row>
    <row r="20">
      <c r="A20" t="s">
        <v>91</v>
      </c>
      <c r="B20" t="s">
        <v>92</v>
      </c>
    </row>
    <row r="21">
      <c r="A21" t="s">
        <v>93</v>
      </c>
      <c r="B21" t="s">
        <v>94</v>
      </c>
    </row>
    <row r="22">
      <c r="A22" t="s">
        <v>95</v>
      </c>
      <c r="B22" t="s">
        <v>96</v>
      </c>
    </row>
    <row r="23">
      <c r="A23" t="s">
        <v>97</v>
      </c>
      <c r="B23" t="s">
        <v>98</v>
      </c>
    </row>
    <row r="24">
      <c r="A24" t="s">
        <v>99</v>
      </c>
      <c r="B24" t="s">
        <v>100</v>
      </c>
    </row>
    <row r="25">
      <c r="A25" t="s">
        <v>101</v>
      </c>
      <c r="B25" t="s">
        <v>102</v>
      </c>
    </row>
    <row r="26">
      <c r="A26" t="s">
        <v>103</v>
      </c>
      <c r="B26" t="s">
        <v>104</v>
      </c>
    </row>
    <row r="27">
      <c r="A27" t="s">
        <v>105</v>
      </c>
      <c r="B27" t="s">
        <v>106</v>
      </c>
    </row>
    <row r="28">
      <c r="A28" t="s">
        <v>107</v>
      </c>
      <c r="B28" t="s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15" sqref="F15"/>
    </sheetView>
  </sheetViews>
  <sheetFormatPr defaultRowHeight="15.0" baseColWidth="10"/>
  <cols>
    <col min="1" max="1" width="9.42578125" hidden="0" customWidth="1"/>
    <col min="2" max="2" width="17.85546875" hidden="0" customWidth="1"/>
    <col min="3" max="3" width="31.140625" hidden="0" customWidth="1"/>
    <col min="4" max="4" width="3" hidden="0" customWidth="1"/>
  </cols>
  <sheetData>
    <row r="1">
      <c r="A1" t="s">
        <v>0</v>
      </c>
      <c r="B1" t="s">
        <v>6</v>
      </c>
      <c r="C1" s="20" t="s">
        <v>47</v>
      </c>
    </row>
    <row r="2">
      <c r="A2" s="6" t="n">
        <v>1</v>
      </c>
      <c r="B2" s="3" t="n">
        <v>109.90360223236937</v>
      </c>
      <c r="C2" s="6" t="n">
        <v>96.531854165544715</v>
      </c>
    </row>
    <row r="3">
      <c r="A3" s="6" t="n">
        <v>2</v>
      </c>
      <c r="B3" s="3" t="n">
        <v>154.59694548396882</v>
      </c>
      <c r="C3" s="6" t="n">
        <v>132.54978331230453</v>
      </c>
    </row>
    <row r="4">
      <c r="A4" s="6" t="n">
        <v>3</v>
      </c>
      <c r="B4" s="3" t="n">
        <v>96.631916599839613</v>
      </c>
      <c r="C4" s="6" t="n">
        <v>88.500182206257477</v>
      </c>
    </row>
    <row r="5">
      <c r="A5" s="6" t="n">
        <v>4</v>
      </c>
      <c r="B5" s="3" t="n">
        <v>105.06462422211584</v>
      </c>
      <c r="C5" s="6" t="n">
        <v>76.926699316506102</v>
      </c>
    </row>
    <row r="6">
      <c r="A6" s="6" t="n">
        <v>5</v>
      </c>
      <c r="B6" s="3" t="n">
        <v>124.88057729444049</v>
      </c>
      <c r="C6" s="6" t="n">
        <v>82.816558011342551</v>
      </c>
    </row>
    <row r="7">
      <c r="A7" s="6" t="n">
        <v>6</v>
      </c>
      <c r="B7" s="3" t="n">
        <v>109.03861046575949</v>
      </c>
      <c r="C7" s="6" t="n">
        <v>94.942665199513527</v>
      </c>
    </row>
    <row r="8">
      <c r="A8" s="6" t="n">
        <v>7</v>
      </c>
      <c r="B8" s="3" t="n">
        <v>136.63187855787476</v>
      </c>
      <c r="C8" s="6" t="n">
        <v>88.612693480637546</v>
      </c>
    </row>
    <row r="9">
      <c r="A9" s="6" t="n">
        <v>8</v>
      </c>
      <c r="B9" s="3" t="n">
        <v>126.09617423147346</v>
      </c>
      <c r="C9" s="6" t="n">
        <v>85.327473004503759</v>
      </c>
    </row>
    <row r="10">
      <c r="A10" s="6" t="n">
        <v>9</v>
      </c>
      <c r="B10" s="3" t="n">
        <v>92.7685950413223</v>
      </c>
      <c r="C10" s="6" t="n">
        <v>96.891103247035446</v>
      </c>
    </row>
    <row r="11">
      <c r="A11" s="6" t="n">
        <v>10</v>
      </c>
      <c r="B11" s="3" t="n">
        <v>99.452679589509685</v>
      </c>
      <c r="C11" s="6" t="n">
        <v>92.46516428694305</v>
      </c>
    </row>
    <row r="12">
      <c r="A12" s="6" t="n">
        <v>11</v>
      </c>
      <c r="B12" s="3" t="n">
        <v>96.690383786114694</v>
      </c>
      <c r="C12" s="6" t="n">
        <v>71.052706633962686</v>
      </c>
    </row>
    <row r="13">
      <c r="A13" s="6" t="n">
        <v>12</v>
      </c>
      <c r="B13" s="3" t="n">
        <v>142.43517474633595</v>
      </c>
      <c r="C13" s="6" t="n">
        <v>85.785734995650913</v>
      </c>
    </row>
    <row r="14">
      <c r="A14" s="6" t="n">
        <v>13</v>
      </c>
      <c r="B14" s="3" t="n">
        <v>101.63110478899952</v>
      </c>
      <c r="C14" s="6" t="n">
        <v>95.230343480384164</v>
      </c>
    </row>
    <row r="15">
      <c r="A15" s="6" t="n">
        <v>14</v>
      </c>
      <c r="B15" s="3" t="n">
        <v>116.30216587427363</v>
      </c>
      <c r="C15" s="6" t="n">
        <v>94.193566065654622</v>
      </c>
    </row>
    <row r="16">
      <c r="A16" s="6" t="n">
        <v>15</v>
      </c>
      <c r="B16" s="3" t="n">
        <v>86.911781708868091</v>
      </c>
      <c r="C16" s="6" t="n">
        <v>88.762214983713349</v>
      </c>
    </row>
    <row r="17">
      <c r="A17" s="6" t="n">
        <v>16</v>
      </c>
      <c r="B17" s="3" t="n">
        <v>126.03289602506362</v>
      </c>
      <c r="C17" s="6" t="n">
        <v>81.66940072794381</v>
      </c>
    </row>
    <row r="18">
      <c r="A18" s="6" t="n">
        <v>17</v>
      </c>
      <c r="B18" s="3" t="n">
        <v>120.48399186208374</v>
      </c>
      <c r="C18" s="6" t="n">
        <v>77.884663876140991</v>
      </c>
    </row>
    <row r="19">
      <c r="A19" s="6" t="n">
        <v>18</v>
      </c>
      <c r="B19" s="3" t="n">
        <v>103.24675324675326</v>
      </c>
      <c r="C19" s="6" t="n">
        <v>104.89382474981694</v>
      </c>
    </row>
    <row r="20">
      <c r="A20" s="6" t="n">
        <v>19</v>
      </c>
      <c r="B20" s="3" t="n">
        <v>131.97238658777118</v>
      </c>
      <c r="C20" s="6" t="n">
        <v>66.582983135949348</v>
      </c>
    </row>
    <row r="21">
      <c r="A21" s="6" t="n">
        <v>20</v>
      </c>
      <c r="B21" s="3" t="n">
        <v>118.12829253176325</v>
      </c>
      <c r="C21" s="6" t="n">
        <v>80.891072336100294</v>
      </c>
    </row>
    <row r="22">
      <c r="A22" s="6" t="n">
        <v>21</v>
      </c>
      <c r="B22" s="3" t="n">
        <v>93.978120846539198</v>
      </c>
      <c r="C22" s="6" t="n">
        <v>102.61033831358407</v>
      </c>
    </row>
    <row r="23">
      <c r="A23" s="6" t="n">
        <v>22</v>
      </c>
      <c r="B23" s="3" t="n">
        <v>112.39304184297131</v>
      </c>
      <c r="C23" s="6" t="n">
        <v>109.63553765938774</v>
      </c>
    </row>
    <row r="24">
      <c r="A24" s="6" t="n">
        <v>23</v>
      </c>
      <c r="B24" s="3" t="n">
        <v>140.29721955896454</v>
      </c>
      <c r="C24" s="6" t="n">
        <v>85.437157231564157</v>
      </c>
    </row>
    <row r="25">
      <c r="A25" s="6" t="n">
        <v>24</v>
      </c>
      <c r="B25" s="3" t="n">
        <v>152.44286439817168</v>
      </c>
      <c r="C25" s="6" t="n">
        <v>125.61383081050978</v>
      </c>
    </row>
    <row r="26">
      <c r="A26" s="6" t="n">
        <v>25</v>
      </c>
      <c r="B26" s="3" t="n">
        <v>115.85990590695241</v>
      </c>
      <c r="C26" s="6" t="n">
        <v>113.80781258572445</v>
      </c>
    </row>
    <row r="27">
      <c r="A27" s="6" t="n">
        <v>26</v>
      </c>
      <c r="B27" s="3" t="n">
        <v>132.53511397651394</v>
      </c>
      <c r="C27" s="6" t="n">
        <v>89.321442862859413</v>
      </c>
    </row>
    <row r="28">
      <c r="A28" s="6" t="n">
        <v>27</v>
      </c>
      <c r="B28" s="3" t="n">
        <v>83.392333367047627</v>
      </c>
      <c r="C28" s="6" t="n">
        <v>136.75637004017389</v>
      </c>
    </row>
    <row r="29">
      <c r="A29" s="6" t="n">
        <v>28</v>
      </c>
      <c r="B29" s="3" t="n">
        <v>95.482609590450707</v>
      </c>
      <c r="C29" s="6" t="n">
        <v>70.725455311578258</v>
      </c>
    </row>
    <row r="30">
      <c r="A30" s="6" t="n">
        <v>29</v>
      </c>
      <c r="B30" s="3" t="n">
        <v>109.98544721817977</v>
      </c>
      <c r="C30" s="6" t="n">
        <v>111.52941535829923</v>
      </c>
    </row>
    <row r="31">
      <c r="A31" s="6" t="n">
        <v>30</v>
      </c>
      <c r="B31" s="3" t="n">
        <v>140.92149136101847</v>
      </c>
      <c r="C31" s="6" t="n">
        <v>113.10524753944311</v>
      </c>
    </row>
    <row r="32">
      <c r="A32" s="6" t="n">
        <v>31</v>
      </c>
      <c r="B32" s="3" t="n">
        <v>104.09492273730685</v>
      </c>
      <c r="C32" s="6" t="n">
        <v>79.696117207954984</v>
      </c>
    </row>
    <row r="33">
      <c r="A33" s="6" t="n">
        <v>32</v>
      </c>
      <c r="B33" s="3" t="n">
        <v>105.00605571255552</v>
      </c>
      <c r="C33" s="6" t="n">
        <v>125.38083731680409</v>
      </c>
    </row>
    <row r="34">
      <c r="A34" s="6" t="n">
        <v>33</v>
      </c>
      <c r="B34" s="3" t="n">
        <v>126.41649835229086</v>
      </c>
      <c r="C34" s="6" t="n">
        <v>101.82059860206702</v>
      </c>
    </row>
    <row r="35">
      <c r="A35" s="6" t="n">
        <v>34</v>
      </c>
      <c r="B35" s="3" t="n">
        <v>110.76171875</v>
      </c>
      <c r="C35" s="6" t="n">
        <v>124.90973726601121</v>
      </c>
    </row>
    <row r="36">
      <c r="A36" s="6" t="n">
        <v>35</v>
      </c>
      <c r="B36" s="3" t="n">
        <v>101.55719704531843</v>
      </c>
      <c r="C36" s="6" t="n">
        <v>97.910675012688202</v>
      </c>
    </row>
    <row r="37">
      <c r="A37" s="6" t="n">
        <v>36</v>
      </c>
      <c r="B37" s="3" t="n">
        <v>133.19654427645787</v>
      </c>
      <c r="C37" s="6" t="n">
        <v>108.91096163712022</v>
      </c>
    </row>
    <row r="38">
      <c r="A38" s="6" t="n">
        <v>37</v>
      </c>
      <c r="B38" s="3" t="n">
        <v>110.23730977971692</v>
      </c>
      <c r="C38" s="6" t="n">
        <v>128.91210254702847</v>
      </c>
    </row>
    <row r="39">
      <c r="A39" s="6" t="n">
        <v>38</v>
      </c>
      <c r="B39" s="3" t="n">
        <v>96.875648744031551</v>
      </c>
      <c r="C39" s="6" t="n">
        <v>111.05555859952878</v>
      </c>
    </row>
    <row r="40">
      <c r="A40" s="6" t="n">
        <v>39</v>
      </c>
      <c r="B40" s="3" t="n">
        <v>106.65976178146039</v>
      </c>
      <c r="C40" s="6" t="n">
        <v>98.654826335978129</v>
      </c>
    </row>
    <row r="41">
      <c r="A41" s="6" t="n">
        <v>40</v>
      </c>
      <c r="B41" s="3" t="n">
        <v>107.66630316248637</v>
      </c>
      <c r="C41" s="6" t="n">
        <v>105.40955545486581</v>
      </c>
    </row>
    <row r="42">
      <c r="A42" s="6" t="n">
        <v>41</v>
      </c>
      <c r="B42" s="3" t="n">
        <v>155.74549983018227</v>
      </c>
      <c r="C42" s="6" t="n">
        <v>112.05627965643581</v>
      </c>
    </row>
    <row r="43">
      <c r="A43" s="6" t="n">
        <v>42</v>
      </c>
      <c r="B43" s="3" t="n">
        <v>89.115847641602528</v>
      </c>
      <c r="C43" s="6" t="n">
        <v>69.231658669133367</v>
      </c>
    </row>
    <row r="44">
      <c r="A44" s="6" t="n">
        <v>43</v>
      </c>
      <c r="B44" s="3" t="n">
        <v>110.24721878862793</v>
      </c>
      <c r="C44" s="6" t="n">
        <v>85.850180174677817</v>
      </c>
    </row>
    <row r="45">
      <c r="A45" s="6" t="n">
        <v>44</v>
      </c>
      <c r="B45" s="3" t="n">
        <v>93.595325389550865</v>
      </c>
      <c r="C45" s="6" t="n">
        <v>103.1530541779145</v>
      </c>
    </row>
    <row r="46">
      <c r="A46" s="6" t="n">
        <v>45</v>
      </c>
      <c r="B46" s="3" t="n">
        <v>86.97017268445839</v>
      </c>
      <c r="C46" s="6" t="n">
        <v>83.576257520312595</v>
      </c>
    </row>
    <row r="47">
      <c r="A47" s="6" t="n">
        <v>46</v>
      </c>
      <c r="B47" s="3" t="n">
        <v>115.62788787349831</v>
      </c>
      <c r="C47" s="6" t="n">
        <v>99.947602829447206</v>
      </c>
    </row>
    <row r="48">
      <c r="A48" s="6" t="n">
        <v>47</v>
      </c>
      <c r="B48" s="3" t="n">
        <v>103.55440414507773</v>
      </c>
      <c r="C48" s="6" t="n">
        <v>103.15500305233365</v>
      </c>
    </row>
    <row r="49">
      <c r="A49" s="6" t="n">
        <v>48</v>
      </c>
      <c r="B49" s="3" t="n">
        <v>114.5428434657731</v>
      </c>
      <c r="C49" s="6" t="n">
        <v>106.2510112723154</v>
      </c>
    </row>
    <row r="50">
      <c r="A50" s="6" t="n">
        <v>49</v>
      </c>
      <c r="B50" s="3" t="n">
        <v>71.099999999999994</v>
      </c>
      <c r="C50" s="6" t="n">
        <v>82.821412900394904</v>
      </c>
    </row>
    <row r="51">
      <c r="A51" s="6" t="n">
        <v>50</v>
      </c>
      <c r="B51" s="3" t="n">
        <v>79.688401615695327</v>
      </c>
      <c r="C51" s="6" t="n">
        <v>117.35693754899397</v>
      </c>
    </row>
    <row r="52">
      <c r="A52" s="6" t="n">
        <v>51</v>
      </c>
      <c r="B52" s="3" t="n">
        <v>149.06486742424244</v>
      </c>
      <c r="C52" s="6" t="n">
        <v>109.79189676219264</v>
      </c>
    </row>
    <row r="53">
      <c r="A53" s="6" t="n">
        <v>52</v>
      </c>
      <c r="B53" s="3" t="n">
        <v>96.134895434139935</v>
      </c>
      <c r="C53" s="6" t="n">
        <v>71.896318283601516</v>
      </c>
    </row>
    <row r="54">
      <c r="A54" s="6" t="n">
        <v>53</v>
      </c>
      <c r="B54" s="3" t="n">
        <v>117.31658291457288</v>
      </c>
      <c r="C54" s="6" t="n">
        <v>105.26539639333106</v>
      </c>
    </row>
    <row r="55">
      <c r="A55" s="6" t="n">
        <v>54</v>
      </c>
      <c r="B55" s="3" t="n">
        <v>85.565042692114517</v>
      </c>
      <c r="C55" s="6" t="n">
        <v>98.737619743464847</v>
      </c>
    </row>
    <row r="56">
      <c r="A56" s="6" t="n">
        <v>55</v>
      </c>
      <c r="B56" s="3" t="n">
        <v>112.24092522615368</v>
      </c>
      <c r="C56" s="6" t="n">
        <v>107.14498895720168</v>
      </c>
    </row>
    <row r="57">
      <c r="A57" s="6" t="n">
        <v>56</v>
      </c>
      <c r="B57" s="3" t="n">
        <v>108.80910134641478</v>
      </c>
      <c r="C57" s="6" t="n">
        <v>85.898479151467527</v>
      </c>
    </row>
    <row r="58">
      <c r="A58" s="6" t="n">
        <v>57</v>
      </c>
      <c r="B58" s="3" t="n">
        <v>107.73955773955772</v>
      </c>
      <c r="C58" s="6" t="n">
        <v>113.13433703423821</v>
      </c>
    </row>
    <row r="59">
      <c r="A59" s="6" t="n">
        <v>58</v>
      </c>
      <c r="B59" s="3" t="n">
        <v>97.527436202565127</v>
      </c>
      <c r="C59" s="6" t="n">
        <v>89.394718241984194</v>
      </c>
    </row>
    <row r="60">
      <c r="A60" s="6" t="n">
        <v>59</v>
      </c>
      <c r="B60" s="3" t="n">
        <v>120.2012789600587</v>
      </c>
      <c r="C60" s="6" t="n">
        <v>95.509727426723472</v>
      </c>
    </row>
    <row r="61">
      <c r="A61" s="6" t="n">
        <v>60</v>
      </c>
      <c r="B61" s="3" t="n">
        <v>105.25410980982058</v>
      </c>
      <c r="C61" s="6" t="n">
        <v>107.52845053983076</v>
      </c>
    </row>
    <row r="62">
      <c r="A62" s="6" t="n">
        <v>61</v>
      </c>
      <c r="B62" s="3" t="n">
        <v>121.22213826973933</v>
      </c>
      <c r="C62" s="6" t="n">
        <v>83.173244848061472</v>
      </c>
    </row>
    <row r="63">
      <c r="A63" s="6" t="n">
        <v>62</v>
      </c>
      <c r="B63" s="3" t="n">
        <v>97.805808776764877</v>
      </c>
      <c r="C63" s="6" t="n">
        <v>85.083096313646749</v>
      </c>
    </row>
    <row r="64">
      <c r="A64" s="6" t="n">
        <v>63</v>
      </c>
      <c r="B64" s="3" t="n">
        <v>130.26042649556518</v>
      </c>
      <c r="C64" s="6" t="n">
        <v>82.349657042590536</v>
      </c>
    </row>
    <row r="65">
      <c r="A65" s="6" t="n">
        <v>64</v>
      </c>
      <c r="B65" s="3" t="n">
        <v>105.82474752626747</v>
      </c>
      <c r="C65" s="6" t="n">
        <v>118.57045143638851</v>
      </c>
    </row>
    <row r="66">
      <c r="A66" s="6" t="n">
        <v>65</v>
      </c>
      <c r="B66" s="3" t="n">
        <v>101.34246328498064</v>
      </c>
      <c r="C66" s="6" t="n">
        <v>109.25365667730713</v>
      </c>
    </row>
    <row r="67">
      <c r="A67" s="6" t="n">
        <v>66</v>
      </c>
      <c r="B67" s="3" t="n">
        <v>102.52595155709344</v>
      </c>
      <c r="C67" s="6" t="n">
        <v>106.54414679730419</v>
      </c>
    </row>
    <row r="68">
      <c r="A68" s="6" t="n">
        <v>67</v>
      </c>
      <c r="B68" s="3" t="n">
        <v>87.541411504868989</v>
      </c>
      <c r="C68" s="6" t="n">
        <v>100.36519898828264</v>
      </c>
    </row>
    <row r="69">
      <c r="A69" s="6" t="n">
        <v>68</v>
      </c>
      <c r="B69" s="3" t="n">
        <v>114.86772486772487</v>
      </c>
      <c r="C69" s="6" t="n">
        <v>106.48349556800258</v>
      </c>
    </row>
    <row r="70">
      <c r="A70" s="6" t="n">
        <v>69</v>
      </c>
      <c r="B70" s="3" t="n">
        <v>104.07439260374115</v>
      </c>
      <c r="C70" s="6" t="n">
        <v>62.288796464777754</v>
      </c>
    </row>
    <row r="71">
      <c r="A71" s="6" t="n">
        <v>70</v>
      </c>
      <c r="B71" s="3" t="n">
        <v>113.01868862844474</v>
      </c>
      <c r="C71" s="6" t="n">
        <v>121.19908204245553</v>
      </c>
    </row>
    <row r="72">
      <c r="A72" s="6" t="n">
        <v>71</v>
      </c>
      <c r="B72" s="3" t="n">
        <v>64.297864297864308</v>
      </c>
      <c r="C72" s="6" t="n">
        <v>93.316544486050304</v>
      </c>
    </row>
    <row r="73">
      <c r="A73" s="6" t="n">
        <v>72</v>
      </c>
      <c r="B73" s="3" t="n">
        <v>124.74097331240188</v>
      </c>
      <c r="C73" s="6" t="n">
        <v>130.81471063186956</v>
      </c>
    </row>
    <row r="74">
      <c r="A74" s="6" t="n">
        <v>73</v>
      </c>
      <c r="B74" s="3" t="n">
        <v>92.822066659701193</v>
      </c>
      <c r="C74" s="6" t="n">
        <v>81.206344204611085</v>
      </c>
    </row>
    <row r="75">
      <c r="A75" s="6" t="n">
        <v>74</v>
      </c>
      <c r="B75" s="3" t="n">
        <v>113.51030833789454</v>
      </c>
      <c r="C75" s="6" t="n">
        <v>82.911561001598287</v>
      </c>
    </row>
    <row r="76">
      <c r="A76" s="6" t="n">
        <v>75</v>
      </c>
      <c r="B76" s="3" t="n">
        <v>109.52610287035253</v>
      </c>
      <c r="C76" s="6" t="n">
        <v>74.978192826722761</v>
      </c>
    </row>
    <row r="77">
      <c r="A77" s="6" t="n">
        <v>76</v>
      </c>
      <c r="B77" s="3" t="n">
        <v>88.877229800629593</v>
      </c>
      <c r="C77" s="6" t="n">
        <v>106.05504804278884</v>
      </c>
    </row>
    <row r="78">
      <c r="A78" s="6" t="n">
        <v>77</v>
      </c>
      <c r="B78" s="3" t="n">
        <v>99.159153074663152</v>
      </c>
      <c r="C78" s="6" t="n">
        <v>99.851668390397904</v>
      </c>
    </row>
    <row r="79">
      <c r="A79" s="6" t="n">
        <v>78</v>
      </c>
      <c r="B79" s="3" t="n">
        <v>86.765871268821002</v>
      </c>
      <c r="C79" s="6" t="n">
        <v>86.109934896522518</v>
      </c>
    </row>
    <row r="80">
      <c r="A80" s="6" t="n">
        <v>79</v>
      </c>
      <c r="B80" s="3" t="n">
        <v>83.671980827341869</v>
      </c>
      <c r="C80" s="6" t="n">
        <v>88.85413704862097</v>
      </c>
    </row>
    <row r="81">
      <c r="A81" s="6" t="n">
        <v>80</v>
      </c>
      <c r="B81" s="3" t="n">
        <v>118.62509992006396</v>
      </c>
      <c r="C81" s="6" t="n">
        <v>117.80865338897985</v>
      </c>
    </row>
    <row r="82">
      <c r="A82" s="6" t="n">
        <v>81</v>
      </c>
      <c r="B82" s="3" t="n">
        <v>60.810260586319217</v>
      </c>
      <c r="C82" s="6" t="n">
        <v>63.288633123911083</v>
      </c>
    </row>
    <row r="83">
      <c r="A83" s="6" t="n">
        <v>82</v>
      </c>
      <c r="B83" s="3" t="n">
        <v>113.50585568568192</v>
      </c>
      <c r="C83" s="6" t="n">
        <v>100.86797738756314</v>
      </c>
    </row>
    <row r="84">
      <c r="A84" s="6" t="n">
        <v>83</v>
      </c>
      <c r="B84" s="3" t="n">
        <v>91.223692775005418</v>
      </c>
      <c r="C84" s="6" t="n">
        <v>72.822803271003693</v>
      </c>
    </row>
    <row r="85">
      <c r="A85" s="6" t="n">
        <v>84</v>
      </c>
      <c r="B85" s="3" t="n">
        <v>121.19781833438222</v>
      </c>
      <c r="C85" s="6" t="n">
        <v>78.095367109184494</v>
      </c>
    </row>
    <row r="86">
      <c r="A86" s="6" t="n">
        <v>85</v>
      </c>
      <c r="B86" s="3" t="n">
        <v>114.44103707833845</v>
      </c>
      <c r="C86" s="6" t="n">
        <v>96.881973128234335</v>
      </c>
    </row>
    <row r="87">
      <c r="A87" s="6" t="n">
        <v>86</v>
      </c>
      <c r="B87" s="3" t="n">
        <v>113.37939087282281</v>
      </c>
      <c r="C87" s="6" t="n">
        <v>81.379338003315326</v>
      </c>
    </row>
    <row r="88">
      <c r="A88" s="6" t="n">
        <v>87</v>
      </c>
      <c r="B88" s="3" t="n">
        <v>115.39084649655732</v>
      </c>
      <c r="C88" s="6" t="n">
        <v>90.208516355743868</v>
      </c>
    </row>
    <row r="89">
      <c r="A89" s="6" t="n">
        <v>88</v>
      </c>
      <c r="B89" s="3" t="n">
        <v>117.94976934905176</v>
      </c>
      <c r="C89" s="6" t="n">
        <v>101.40235181948196</v>
      </c>
    </row>
    <row r="90">
      <c r="A90" s="6" t="n">
        <v>89</v>
      </c>
      <c r="B90" s="3" t="n">
        <v>110.80396921830702</v>
      </c>
      <c r="C90" s="6" t="n">
        <v>125.87006960556843</v>
      </c>
    </row>
    <row r="91">
      <c r="A91" s="6" t="n">
        <v>90</v>
      </c>
      <c r="B91" s="3" t="n">
        <v>97.565988749459109</v>
      </c>
      <c r="C91" s="6" t="n">
        <v>127.90403330145695</v>
      </c>
    </row>
    <row r="92">
      <c r="A92" s="6" t="n">
        <v>91</v>
      </c>
      <c r="B92" s="3" t="n">
        <v>96.220385674931123</v>
      </c>
      <c r="C92" s="6" t="n">
        <v>113.37241842502937</v>
      </c>
    </row>
    <row r="93">
      <c r="A93" s="6" t="n">
        <v>92</v>
      </c>
      <c r="B93" s="3" t="n">
        <v>81.158974358974362</v>
      </c>
      <c r="C93" s="6" t="n">
        <v>105.74239464136197</v>
      </c>
    </row>
    <row r="94">
      <c r="A94" s="6" t="n">
        <v>93</v>
      </c>
      <c r="B94" s="3" t="n">
        <v>151.46297546702678</v>
      </c>
      <c r="C94" s="6" t="n">
        <v>89.515093127809877</v>
      </c>
    </row>
    <row r="95">
      <c r="A95" s="6" t="n">
        <v>94</v>
      </c>
      <c r="B95" s="3" t="n">
        <v>96.850569577842293</v>
      </c>
      <c r="C95" s="6" t="n">
        <v>86.20187547323664</v>
      </c>
    </row>
    <row r="96">
      <c r="A96" s="6" t="n">
        <v>95</v>
      </c>
      <c r="B96" s="3" t="n">
        <v>120.18586557164468</v>
      </c>
      <c r="C96" s="6" t="n">
        <v>77.951586777851105</v>
      </c>
    </row>
    <row r="97">
      <c r="A97" s="6" t="n">
        <v>96</v>
      </c>
      <c r="B97" s="3" t="n">
        <v>56.315614985081233</v>
      </c>
      <c r="C97" s="6" t="n">
        <v>97.779548721795095</v>
      </c>
    </row>
    <row r="98">
      <c r="A98" s="6" t="n">
        <v>97</v>
      </c>
      <c r="B98" s="3" t="n">
        <v>88.134511014153446</v>
      </c>
      <c r="C98" s="6" t="n">
        <v>69.805913948723614</v>
      </c>
    </row>
    <row r="99">
      <c r="A99" s="6" t="n">
        <v>98</v>
      </c>
      <c r="B99" s="3" t="n">
        <v>89.688322201983411</v>
      </c>
      <c r="C99" s="6" t="n">
        <v>71.266543373981378</v>
      </c>
    </row>
    <row r="100">
      <c r="A100" s="6" t="n">
        <v>99</v>
      </c>
      <c r="B100" s="3" t="n">
        <v>94.618210704001598</v>
      </c>
      <c r="C100" s="6" t="n">
        <v>91.247171165203937</v>
      </c>
    </row>
    <row r="101">
      <c r="A101" s="6" t="n">
        <v>100</v>
      </c>
      <c r="B101" s="3" t="n">
        <v>94.954128440366986</v>
      </c>
      <c r="C101" s="6" t="n">
        <v>85.137540917705152</v>
      </c>
    </row>
    <row r="102">
      <c r="A102" s="6" t="n">
        <v>101</v>
      </c>
      <c r="B102" s="3" t="n">
        <v>86.377415687760518</v>
      </c>
      <c r="C102" s="6" t="n">
        <v>60.931026078479157</v>
      </c>
    </row>
    <row r="103">
      <c r="A103" s="6" t="n">
        <v>102</v>
      </c>
      <c r="B103" s="3" t="n">
        <v>90.477603085137943</v>
      </c>
      <c r="C103" s="6" t="n">
        <v>93.065413879385176</v>
      </c>
    </row>
    <row r="104">
      <c r="A104" s="6" t="n">
        <v>103</v>
      </c>
      <c r="B104" s="3" t="n">
        <v>107.62419503219873</v>
      </c>
      <c r="C104" s="6" t="n">
        <v>86.21883656509695</v>
      </c>
    </row>
    <row r="105">
      <c r="A105" s="6" t="n">
        <v>104</v>
      </c>
      <c r="B105" s="3" t="n">
        <v>88.016060949243283</v>
      </c>
      <c r="C105" s="6" t="n">
        <v>75.537899437452865</v>
      </c>
    </row>
    <row r="106">
      <c r="A106" s="6" t="n">
        <v>105</v>
      </c>
      <c r="B106" s="3" t="n">
        <v>93.997327577346084</v>
      </c>
      <c r="C106" s="6" t="n">
        <v>93.329612876696231</v>
      </c>
    </row>
    <row r="107">
      <c r="A107" s="6" t="n">
        <v>106</v>
      </c>
      <c r="B107" s="3" t="n">
        <v>132.61296660117878</v>
      </c>
      <c r="C107" s="6" t="n">
        <v>101.57208384447169</v>
      </c>
    </row>
    <row r="108">
      <c r="A108" s="6" t="n">
        <v>107</v>
      </c>
      <c r="B108" s="1" t="e">
        <v>#NULL!</v>
      </c>
      <c r="C108" s="6" t="n">
        <v>90.966855127340622</v>
      </c>
    </row>
    <row r="109">
      <c r="A109" s="6" t="n">
        <v>108</v>
      </c>
      <c r="B109" s="3" t="n">
        <v>97.31238762184158</v>
      </c>
      <c r="C109" s="6" t="n">
        <v>97.718383311603645</v>
      </c>
    </row>
    <row r="110">
      <c r="A110" s="6" t="n">
        <v>109</v>
      </c>
      <c r="B110" s="3" t="n">
        <v>88.675825224193858</v>
      </c>
      <c r="C110" s="6" t="n">
        <v>124.63600436794758</v>
      </c>
    </row>
    <row r="111">
      <c r="A111" s="6" t="n">
        <v>110</v>
      </c>
      <c r="B111" s="3" t="n">
        <v>85.687903970452439</v>
      </c>
      <c r="C111" s="6" t="n">
        <v>112.2956219680182</v>
      </c>
    </row>
    <row r="112">
      <c r="A112" s="6" t="n">
        <v>111</v>
      </c>
      <c r="B112" s="3" t="n">
        <v>90.278442254329718</v>
      </c>
      <c r="C112" s="6" t="n">
        <v>71.285114874891249</v>
      </c>
    </row>
    <row r="113">
      <c r="A113" s="6" t="n">
        <v>112</v>
      </c>
      <c r="B113" s="3" t="n">
        <v>78.3227524063076</v>
      </c>
      <c r="C113" s="6" t="n">
        <v>101.09301267837851</v>
      </c>
    </row>
    <row r="114">
      <c r="A114" s="6" t="n">
        <v>113</v>
      </c>
      <c r="B114" s="3" t="n">
        <v>97.307807358659886</v>
      </c>
      <c r="C114" s="6" t="n">
        <v>82.210827083014436</v>
      </c>
    </row>
    <row r="115">
      <c r="A115" s="6" t="n">
        <v>114</v>
      </c>
      <c r="B115" s="3" t="n">
        <v>114.46855870895938</v>
      </c>
      <c r="C115" s="6" t="n">
        <v>108.86126704089816</v>
      </c>
    </row>
    <row r="116">
      <c r="A116" s="6" t="n">
        <v>115</v>
      </c>
      <c r="B116" s="3" t="n">
        <v>70.695401021995124</v>
      </c>
      <c r="C116" s="6" t="n">
        <v>70.814479638009047</v>
      </c>
    </row>
    <row r="117">
      <c r="A117" s="6" t="n">
        <v>116</v>
      </c>
      <c r="B117" s="3" t="n">
        <v>96.960794245770444</v>
      </c>
      <c r="C117" s="6" t="n">
        <v>79.19322329356649</v>
      </c>
    </row>
    <row r="118">
      <c r="A118" s="6" t="n">
        <v>117</v>
      </c>
      <c r="B118" s="3" t="n">
        <v>82.265259492982267</v>
      </c>
      <c r="C118" s="6" t="n">
        <v>84.532323060332587</v>
      </c>
    </row>
    <row r="119">
      <c r="A119" s="6" t="n">
        <v>118</v>
      </c>
      <c r="B119" s="3" t="n">
        <v>119.29185351270553</v>
      </c>
      <c r="C119" s="6" t="n">
        <v>80.162421839255757</v>
      </c>
    </row>
    <row r="120">
      <c r="A120" s="6" t="n">
        <v>119</v>
      </c>
      <c r="B120" s="3" t="n">
        <v>113.25837929571489</v>
      </c>
      <c r="C120" s="6" t="n">
        <v>70.802857628848443</v>
      </c>
    </row>
    <row r="121">
      <c r="A121" s="6" t="n">
        <v>120</v>
      </c>
      <c r="B121" s="3" t="n">
        <v>88.977354978802609</v>
      </c>
      <c r="C121" s="6" t="n">
        <v>83.867834140629157</v>
      </c>
    </row>
    <row r="122">
      <c r="A122" s="6" t="n">
        <v>121</v>
      </c>
      <c r="B122" s="3" t="n">
        <v>100.15425750719868</v>
      </c>
      <c r="C122" s="6" t="n">
        <v>105.34550195567142</v>
      </c>
    </row>
    <row r="123">
      <c r="A123" s="6" t="n">
        <v>122</v>
      </c>
      <c r="B123" s="3" t="n">
        <v>91.731582461606948</v>
      </c>
      <c r="C123" s="6" t="n">
        <v>102.45780278353567</v>
      </c>
    </row>
    <row r="124">
      <c r="A124" s="6" t="n">
        <v>123</v>
      </c>
      <c r="B124" s="3" t="n">
        <v>98.979244641034356</v>
      </c>
      <c r="C124" s="6" t="n">
        <v>81.662018631697606</v>
      </c>
    </row>
    <row r="125">
      <c r="A125" s="6" t="n">
        <v>124</v>
      </c>
      <c r="B125" s="3" t="n">
        <v>117.24237467526217</v>
      </c>
      <c r="C125" s="6" t="n">
        <v>96.322601875719855</v>
      </c>
    </row>
    <row r="126">
      <c r="A126" s="6" t="n">
        <v>125</v>
      </c>
      <c r="B126" s="3" t="n">
        <v>115.06720850265708</v>
      </c>
      <c r="C126" s="6" t="n">
        <v>92.329948374652517</v>
      </c>
    </row>
    <row r="127">
      <c r="A127" s="6" t="n">
        <v>126</v>
      </c>
      <c r="B127" s="3" t="n">
        <v>85.813189392161462</v>
      </c>
      <c r="C127" s="6" t="n">
        <v>76.814502969780023</v>
      </c>
    </row>
    <row r="128">
      <c r="A128" s="6" t="n">
        <v>127</v>
      </c>
      <c r="B128" s="3" t="n">
        <v>100.44633589370977</v>
      </c>
      <c r="C128" s="6" t="n">
        <v>89.644725970806931</v>
      </c>
    </row>
    <row r="129">
      <c r="A129" s="6" t="n">
        <v>128</v>
      </c>
      <c r="B129" s="3" t="n">
        <v>133.30045617063249</v>
      </c>
      <c r="C129" s="6" t="n">
        <v>106.41921270798305</v>
      </c>
    </row>
    <row r="130">
      <c r="A130" s="6" t="n">
        <v>129</v>
      </c>
      <c r="B130" s="3" t="n">
        <v>106.54046294634847</v>
      </c>
      <c r="C130" s="6" t="n">
        <v>63.799217412570307</v>
      </c>
      <c r="D130" s="6" t="n">
        <f>AVERAGE(C2:C141)</f>
        <v>94.220634461699873</v>
      </c>
    </row>
    <row r="131">
      <c r="A131" s="6" t="n">
        <v>130</v>
      </c>
      <c r="B131" s="3" t="n">
        <v>113.02393746946753</v>
      </c>
      <c r="C131" s="6" t="n">
        <v>131.35095447870776</v>
      </c>
    </row>
    <row r="132">
      <c r="A132" s="6" t="n">
        <v>131</v>
      </c>
      <c r="B132" s="3" t="n">
        <v>103.77658969400525</v>
      </c>
      <c r="C132" s="6" t="n">
        <v>84.377914312359408</v>
      </c>
    </row>
    <row r="133">
      <c r="A133" s="6" t="n">
        <v>132</v>
      </c>
      <c r="B133" s="3" t="n">
        <v>105.07591710074256</v>
      </c>
      <c r="C133" s="6" t="n">
        <v>100.45600091486075</v>
      </c>
    </row>
    <row r="134">
      <c r="A134" s="6" t="n">
        <v>133</v>
      </c>
      <c r="B134" s="3" t="n">
        <v>118.1315592203898</v>
      </c>
      <c r="C134" s="6" t="n">
        <v>56.313886811269008</v>
      </c>
    </row>
    <row r="135">
      <c r="A135" s="6" t="n">
        <v>134</v>
      </c>
      <c r="B135" s="3" t="n">
        <v>80</v>
      </c>
      <c r="C135" s="6" t="n">
        <v>108.84812873855275</v>
      </c>
    </row>
    <row r="136">
      <c r="A136" s="6" t="n">
        <v>135</v>
      </c>
      <c r="B136" s="3" t="n">
        <v>100.01895554923703</v>
      </c>
      <c r="C136" s="6" t="n">
        <v>94.444874374451828</v>
      </c>
    </row>
    <row r="137">
      <c r="A137" s="6" t="n">
        <v>136</v>
      </c>
      <c r="B137" s="3" t="n">
        <v>107.93229339528709</v>
      </c>
      <c r="C137" s="6" t="n">
        <v>75.264827425644611</v>
      </c>
    </row>
    <row r="138">
      <c r="A138" s="6" t="n">
        <v>137</v>
      </c>
      <c r="B138" s="3" t="n">
        <v>116.78924143727673</v>
      </c>
      <c r="C138" s="6" t="n">
        <v>94.16151572158023</v>
      </c>
    </row>
    <row r="139">
      <c r="A139" s="6" t="n">
        <v>138</v>
      </c>
      <c r="B139" s="3" t="n">
        <v>99.932111337406653</v>
      </c>
      <c r="C139" s="6" t="n">
        <v>73.751352582721097</v>
      </c>
    </row>
    <row r="140">
      <c r="A140" s="6" t="n">
        <v>139</v>
      </c>
      <c r="B140" s="3" t="n">
        <v>108.69328691110871</v>
      </c>
      <c r="C140" s="6" t="n">
        <v>81.188460874071495</v>
      </c>
    </row>
    <row r="141">
      <c r="A141" s="6" t="n">
        <v>140</v>
      </c>
      <c r="B141" s="3" t="n">
        <v>82</v>
      </c>
      <c r="C141" s="6" t="n">
        <v>71.465910966818896</v>
      </c>
    </row>
    <row r="142">
      <c r="A142" s="6" t="n">
        <v>201</v>
      </c>
      <c r="B142" s="3" t="n">
        <v>131.9180231417925</v>
      </c>
      <c r="C142" s="6" t="n">
        <v>113.62478993736313</v>
      </c>
    </row>
    <row r="143">
      <c r="A143" s="6" t="n">
        <v>202</v>
      </c>
      <c r="B143" s="3" t="n">
        <v>100.57835613391171</v>
      </c>
      <c r="C143" s="6" t="n">
        <v>90.676488781420446</v>
      </c>
    </row>
    <row r="144">
      <c r="A144" s="6" t="n">
        <v>203</v>
      </c>
      <c r="B144" s="3" t="n">
        <v>106.62206709327128</v>
      </c>
      <c r="C144" s="6" t="n">
        <v>68.254748719010408</v>
      </c>
    </row>
    <row r="145">
      <c r="A145" s="6" t="n">
        <v>204</v>
      </c>
      <c r="B145" s="3" t="n">
        <v>98.111683328284343</v>
      </c>
      <c r="C145" s="6" t="n">
        <v>112.30876216968009</v>
      </c>
    </row>
    <row r="146">
      <c r="A146" s="6" t="n">
        <v>205</v>
      </c>
      <c r="B146" s="3" t="n">
        <v>101.61572052401746</v>
      </c>
      <c r="C146" s="6" t="n">
        <v>85.492155658533846</v>
      </c>
    </row>
    <row r="147">
      <c r="A147" s="6" t="n">
        <v>206</v>
      </c>
      <c r="B147" s="3" t="n">
        <v>123.27103790518426</v>
      </c>
      <c r="C147" s="6" t="n">
        <v>107.42747018073857</v>
      </c>
    </row>
    <row r="148">
      <c r="A148" s="6" t="n">
        <v>207</v>
      </c>
      <c r="B148" s="3" t="n">
        <v>117.86026200873363</v>
      </c>
      <c r="C148" s="6" t="n">
        <v>112.33831681505121</v>
      </c>
    </row>
    <row r="149">
      <c r="A149" s="6" t="n">
        <v>208</v>
      </c>
      <c r="B149" s="3" t="n">
        <v>107.14569273521238</v>
      </c>
      <c r="C149" s="6" t="n">
        <v>96.042901347878527</v>
      </c>
    </row>
    <row r="150">
      <c r="A150" s="6" t="n">
        <v>209</v>
      </c>
      <c r="B150" s="3" t="n">
        <v>151.39465302576974</v>
      </c>
      <c r="C150" s="6" t="n">
        <v>78.881223594844641</v>
      </c>
    </row>
    <row r="151">
      <c r="A151" s="6" t="n">
        <v>210</v>
      </c>
      <c r="B151" s="3" t="n">
        <v>112.93039614957424</v>
      </c>
      <c r="C151" s="6" t="n">
        <v>90.635408660005112</v>
      </c>
    </row>
    <row r="152">
      <c r="A152" s="6" t="n">
        <v>211</v>
      </c>
      <c r="B152" s="3" t="n">
        <v>138.77706451963877</v>
      </c>
      <c r="C152" s="6" t="n">
        <v>151.28161214819886</v>
      </c>
    </row>
    <row r="153">
      <c r="A153" s="6" t="n">
        <v>212</v>
      </c>
      <c r="B153" s="3" t="n">
        <v>113.10615989515071</v>
      </c>
      <c r="C153" s="6" t="n">
        <v>101.88693354603917</v>
      </c>
    </row>
    <row r="154">
      <c r="A154" s="6" t="n">
        <v>213</v>
      </c>
      <c r="B154" s="3" t="n">
        <v>94.799555690194879</v>
      </c>
      <c r="C154" s="6" t="n">
        <v>100.76735553216245</v>
      </c>
    </row>
    <row r="155">
      <c r="A155" s="6" t="n">
        <v>214</v>
      </c>
      <c r="B155" s="3" t="n">
        <v>118.59152234235957</v>
      </c>
      <c r="C155" s="6" t="n">
        <v>105.11696651546811</v>
      </c>
    </row>
    <row r="156">
      <c r="A156" s="6" t="n">
        <v>215</v>
      </c>
      <c r="B156" s="3" t="n">
        <v>123.66282366282368</v>
      </c>
      <c r="C156" s="6" t="n">
        <v>99.347334070214217</v>
      </c>
    </row>
    <row r="157">
      <c r="A157" s="6" t="n">
        <v>216</v>
      </c>
      <c r="B157" s="3" t="n">
        <v>118.61505543668547</v>
      </c>
      <c r="C157" s="6" t="n">
        <v>90.953035160026445</v>
      </c>
    </row>
    <row r="158">
      <c r="A158" s="6" t="n">
        <v>217</v>
      </c>
      <c r="B158" s="3" t="n">
        <v>77.338516251757511</v>
      </c>
      <c r="C158" s="6" t="n">
        <v>88.596579730615943</v>
      </c>
    </row>
    <row r="159">
      <c r="A159" s="6" t="n">
        <v>218</v>
      </c>
      <c r="B159" s="3" t="n">
        <v>122.62040393578457</v>
      </c>
      <c r="C159" s="6" t="n">
        <v>89.860139860139853</v>
      </c>
    </row>
    <row r="160">
      <c r="A160" s="6" t="n">
        <v>219</v>
      </c>
      <c r="B160" s="3" t="n">
        <v>94.478420408876474</v>
      </c>
      <c r="C160" s="6" t="n">
        <v>98.606280558495882</v>
      </c>
    </row>
    <row r="161">
      <c r="A161" s="6" t="n">
        <v>220</v>
      </c>
      <c r="B161" s="3" t="n">
        <v>94.93598862019914</v>
      </c>
      <c r="C161" s="6" t="n">
        <v>68.129080999406384</v>
      </c>
    </row>
    <row r="162">
      <c r="A162" s="6" t="n">
        <v>221</v>
      </c>
      <c r="B162" s="3" t="n">
        <v>110.63940211750052</v>
      </c>
      <c r="C162" s="6" t="n">
        <v>97.213884189270303</v>
      </c>
    </row>
    <row r="163">
      <c r="A163" s="6" t="n">
        <v>222</v>
      </c>
      <c r="B163" s="1" t="e">
        <v>#NULL!</v>
      </c>
      <c r="C163" s="6" t="n">
        <v>99.83007646559048</v>
      </c>
    </row>
    <row r="164">
      <c r="A164" s="6" t="n">
        <v>223</v>
      </c>
      <c r="B164" s="3" t="n">
        <v>88.141958501549141</v>
      </c>
      <c r="C164" s="6" t="n">
        <v>67.214826416079347</v>
      </c>
    </row>
    <row r="165">
      <c r="A165" s="6" t="n">
        <v>224</v>
      </c>
      <c r="B165" s="3" t="n">
        <v>101.43406422113685</v>
      </c>
      <c r="C165" s="6" t="n">
        <v>62.458361092604932</v>
      </c>
    </row>
    <row r="166">
      <c r="A166" s="6" t="n">
        <v>225</v>
      </c>
      <c r="B166" s="3" t="n">
        <v>93.894055802668817</v>
      </c>
      <c r="C166" s="6" t="n">
        <v>86.656241855616372</v>
      </c>
    </row>
    <row r="167">
      <c r="A167" s="6" t="n">
        <v>226</v>
      </c>
      <c r="B167" s="3" t="n">
        <v>105.43242478543809</v>
      </c>
      <c r="C167" s="6" t="n">
        <v>93.70126276601097</v>
      </c>
    </row>
    <row r="168">
      <c r="A168" s="6" t="n">
        <v>227</v>
      </c>
      <c r="B168" s="3" t="n">
        <v>136.79022926933791</v>
      </c>
      <c r="C168" s="6" t="n">
        <v>123.98287507312662</v>
      </c>
    </row>
    <row r="169">
      <c r="A169" s="6" t="n">
        <v>228</v>
      </c>
      <c r="B169" s="3" t="n">
        <v>110.08015812012739</v>
      </c>
      <c r="C169" s="6" t="n">
        <v>110.39743075070251</v>
      </c>
    </row>
    <row r="170">
      <c r="A170" s="6" t="n">
        <v>229</v>
      </c>
      <c r="B170" s="3" t="n">
        <v>124.67383362905751</v>
      </c>
      <c r="C170" s="6" t="n">
        <v>103.43770751391939</v>
      </c>
    </row>
    <row r="171">
      <c r="A171" s="6" t="n">
        <v>230</v>
      </c>
      <c r="B171" s="3" t="n">
        <v>117.92378707523079</v>
      </c>
      <c r="C171" s="6" t="n">
        <v>130.70162145779662</v>
      </c>
    </row>
    <row r="172">
      <c r="A172" s="6" t="n">
        <v>231</v>
      </c>
      <c r="B172" s="3" t="n">
        <v>123.71027651671483</v>
      </c>
      <c r="C172" s="6" t="n">
        <v>101.17990357777214</v>
      </c>
    </row>
    <row r="173">
      <c r="A173" s="6" t="n">
        <v>232</v>
      </c>
      <c r="B173" s="3" t="n">
        <v>106.06617647058823</v>
      </c>
      <c r="C173" s="6" t="n">
        <v>79.738176973920162</v>
      </c>
    </row>
    <row r="174">
      <c r="A174" s="6" t="n">
        <v>233</v>
      </c>
      <c r="B174" s="3" t="n">
        <v>128.04762804762805</v>
      </c>
      <c r="C174" s="6" t="n">
        <v>105.15004482885924</v>
      </c>
    </row>
    <row r="175">
      <c r="A175" s="6" t="n">
        <v>234</v>
      </c>
      <c r="B175" s="3" t="n">
        <v>64.703325364051295</v>
      </c>
      <c r="C175" s="6" t="n">
        <v>63.066639348460782</v>
      </c>
    </row>
    <row r="176">
      <c r="A176" s="6" t="n">
        <v>235</v>
      </c>
      <c r="B176" s="3" t="n">
        <v>127.35308890005024</v>
      </c>
      <c r="C176" s="6" t="n">
        <v>71.878236223905816</v>
      </c>
    </row>
    <row r="177">
      <c r="A177" s="6" t="n">
        <v>236</v>
      </c>
      <c r="B177" s="3" t="n">
        <v>105.25988173046996</v>
      </c>
      <c r="C177" s="6" t="n">
        <v>73.999065274964948</v>
      </c>
    </row>
    <row r="178">
      <c r="A178" s="6" t="n">
        <v>237</v>
      </c>
      <c r="B178" s="3" t="n">
        <v>114.11891679748823</v>
      </c>
      <c r="C178" s="6" t="n">
        <v>85.168064981563603</v>
      </c>
    </row>
    <row r="179">
      <c r="A179" s="6" t="n">
        <v>238</v>
      </c>
      <c r="B179" s="3" t="n">
        <v>64.853728883395149</v>
      </c>
      <c r="C179" s="6" t="n">
        <v>72.153790650930262</v>
      </c>
    </row>
    <row r="180">
      <c r="A180" s="6" t="n">
        <v>239</v>
      </c>
      <c r="B180" s="3" t="n">
        <v>102.39526582754088</v>
      </c>
      <c r="C180" s="6" t="n">
        <v>84.008152922381967</v>
      </c>
    </row>
    <row r="181">
      <c r="A181" s="6" t="n">
        <v>240</v>
      </c>
      <c r="B181" s="3" t="n">
        <v>116.97172975563011</v>
      </c>
      <c r="C181" s="6" t="n">
        <v>100.40664692002611</v>
      </c>
    </row>
    <row r="182">
      <c r="A182" s="6" t="n">
        <v>242</v>
      </c>
      <c r="B182" s="3" t="n">
        <v>92.081559932693253</v>
      </c>
      <c r="C182" s="6" t="n">
        <v>92.770947821653166</v>
      </c>
    </row>
    <row r="183">
      <c r="A183" s="6" t="n">
        <v>243</v>
      </c>
      <c r="B183" s="3" t="n">
        <v>66.482525366403593</v>
      </c>
      <c r="C183" s="6" t="n">
        <v>106.63061708403214</v>
      </c>
    </row>
    <row r="184">
      <c r="A184" s="6" t="n">
        <v>244</v>
      </c>
      <c r="B184" s="3" t="n">
        <v>90.789871885403002</v>
      </c>
      <c r="C184" s="6" t="n">
        <v>116.32403572676012</v>
      </c>
    </row>
    <row r="185">
      <c r="A185" s="6" t="n">
        <v>245</v>
      </c>
      <c r="B185" s="1" t="e">
        <v>#NULL!</v>
      </c>
      <c r="C185" s="6" t="n">
        <v>65.993197624244885</v>
      </c>
    </row>
    <row r="186">
      <c r="A186" s="6" t="n">
        <v>246</v>
      </c>
      <c r="B186" s="3" t="n">
        <v>97.52271743833839</v>
      </c>
      <c r="C186" s="6" t="n">
        <v>82.342432869982702</v>
      </c>
    </row>
    <row r="187">
      <c r="A187" s="6" t="n">
        <v>247</v>
      </c>
      <c r="B187" s="3" t="n">
        <v>91.508289526890408</v>
      </c>
      <c r="C187" s="6" t="n">
        <v>89.812927836128949</v>
      </c>
    </row>
    <row r="188">
      <c r="A188" s="6" t="n">
        <v>248</v>
      </c>
      <c r="B188" s="3" t="n">
        <v>104.02625391849529</v>
      </c>
      <c r="C188" s="6" t="n">
        <v>83.980395396222235</v>
      </c>
    </row>
    <row r="189">
      <c r="A189" s="6" t="n">
        <v>249</v>
      </c>
      <c r="B189" s="3" t="n">
        <v>84.466625077978776</v>
      </c>
      <c r="C189" s="6" t="n">
        <v>106.60908647858341</v>
      </c>
    </row>
    <row r="190">
      <c r="A190" s="6" t="n">
        <v>250</v>
      </c>
      <c r="B190" s="3" t="n">
        <v>88.938231731933797</v>
      </c>
      <c r="C190" s="6" t="n">
        <v>61.84231192084183</v>
      </c>
    </row>
    <row r="191">
      <c r="A191" s="6" t="n">
        <v>251</v>
      </c>
      <c r="B191" s="3" t="n">
        <v>118.0882502802405</v>
      </c>
      <c r="C191" s="6" t="n">
        <v>91.222757285409301</v>
      </c>
    </row>
    <row r="192">
      <c r="A192" s="6" t="n">
        <v>252</v>
      </c>
      <c r="B192" s="3" t="n">
        <v>106.30908740111904</v>
      </c>
      <c r="C192" s="6" t="n">
        <v>98.470510000511538</v>
      </c>
    </row>
    <row r="193">
      <c r="A193" s="6" t="n">
        <v>253</v>
      </c>
      <c r="B193" s="3" t="n">
        <v>106.4115039463726</v>
      </c>
      <c r="C193" s="6" t="n">
        <v>80.354761269671897</v>
      </c>
    </row>
    <row r="194">
      <c r="A194" s="6" t="n">
        <v>254</v>
      </c>
      <c r="B194" s="3" t="n">
        <v>89.760440958236174</v>
      </c>
      <c r="C194" s="6" t="n">
        <v>107.7295987072448</v>
      </c>
    </row>
    <row r="195">
      <c r="A195" s="6" t="n">
        <v>255</v>
      </c>
      <c r="B195" s="3" t="n">
        <v>96.856871638012862</v>
      </c>
      <c r="C195" s="6" t="n">
        <v>94.41923523878036</v>
      </c>
    </row>
    <row r="196">
      <c r="A196" s="6" t="n">
        <v>256</v>
      </c>
      <c r="B196" s="3" t="n">
        <v>133.47675516843321</v>
      </c>
      <c r="C196" s="6" t="n">
        <v>92.285240084702096</v>
      </c>
    </row>
    <row r="197">
      <c r="A197" s="6" t="n">
        <v>257</v>
      </c>
      <c r="B197" s="3" t="n">
        <v>117.29431833092772</v>
      </c>
      <c r="C197" s="6" t="n">
        <v>91.679868567740414</v>
      </c>
    </row>
    <row r="198">
      <c r="A198" s="6" t="n">
        <v>258</v>
      </c>
      <c r="B198" s="3" t="n">
        <v>54.191008382016769</v>
      </c>
      <c r="C198" s="6" t="n">
        <v>68.9432611629408</v>
      </c>
    </row>
    <row r="199">
      <c r="A199" s="6" t="n">
        <v>259</v>
      </c>
      <c r="B199" s="3" t="n">
        <v>109.13320521897441</v>
      </c>
      <c r="C199" s="6" t="n">
        <v>83.535009075408382</v>
      </c>
    </row>
    <row r="200">
      <c r="A200" s="6" t="n">
        <v>260</v>
      </c>
      <c r="B200" s="3" t="n">
        <v>107.11253871744866</v>
      </c>
      <c r="C200" s="6" t="n">
        <v>94.635835436351897</v>
      </c>
    </row>
    <row r="201">
      <c r="A201" s="6" t="n">
        <v>261</v>
      </c>
      <c r="B201" s="3" t="n">
        <v>90.448901623686723</v>
      </c>
      <c r="C201" s="6" t="n">
        <v>58.027370832579727</v>
      </c>
    </row>
    <row r="202">
      <c r="A202" s="6" t="n">
        <v>262</v>
      </c>
      <c r="B202" s="3" t="n">
        <v>89.063631660631131</v>
      </c>
      <c r="C202" s="6" t="n">
        <v>74.981864851291775</v>
      </c>
    </row>
    <row r="203">
      <c r="A203" s="6" t="n">
        <v>263</v>
      </c>
      <c r="B203" s="3" t="n">
        <v>103.27764180057466</v>
      </c>
      <c r="C203" s="6" t="n">
        <v>102.67437358260965</v>
      </c>
    </row>
    <row r="204">
      <c r="A204" s="6" t="n">
        <v>264</v>
      </c>
      <c r="B204" s="3" t="n">
        <v>94.222609074094223</v>
      </c>
      <c r="C204" s="6" t="n">
        <v>79.581301978778313</v>
      </c>
    </row>
    <row r="205">
      <c r="A205" s="6" t="n">
        <v>265</v>
      </c>
      <c r="B205" s="3" t="n">
        <v>107.34152652005173</v>
      </c>
      <c r="C205" s="6" t="n">
        <v>77.111098178432144</v>
      </c>
    </row>
    <row r="206">
      <c r="A206" s="6" t="n">
        <v>266</v>
      </c>
      <c r="B206" s="3" t="n">
        <v>111.4938684503902</v>
      </c>
      <c r="C206" s="6" t="n">
        <v>93.316353416476375</v>
      </c>
    </row>
    <row r="207">
      <c r="A207" s="6" t="n">
        <v>267</v>
      </c>
      <c r="B207" s="3" t="n">
        <v>95.913954017755515</v>
      </c>
      <c r="C207" s="6" t="n">
        <v>93.628896986523216</v>
      </c>
    </row>
    <row r="208">
      <c r="A208" s="6" t="n">
        <v>268</v>
      </c>
      <c r="B208" s="3" t="n">
        <v>115.89227223098386</v>
      </c>
      <c r="C208" s="6" t="n">
        <v>68.673416556405684</v>
      </c>
    </row>
    <row r="209">
      <c r="A209" s="6" t="n">
        <v>269</v>
      </c>
      <c r="B209" s="3" t="n">
        <v>105.06838294448913</v>
      </c>
      <c r="C209" s="6" t="n">
        <v>79.744241094625011</v>
      </c>
    </row>
    <row r="210">
      <c r="A210" s="6" t="n">
        <v>270</v>
      </c>
      <c r="B210" s="3" t="n">
        <v>103.57362277288553</v>
      </c>
      <c r="C210" s="6" t="n">
        <v>89.955974487780082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39997558519241921"/>
  </sheetPr>
  <dimension ref="A1"/>
  <sheetViews>
    <sheetView zoomScale="190" zoomScaleNormal="190" workbookViewId="0">
      <selection activeCell="E23" sqref="E23"/>
    </sheetView>
  </sheetViews>
  <sheetFormatPr defaultRowHeight="15.0" baseColWidth="10"/>
  <cols>
    <col min="1" max="1" width="7.7109375" hidden="0" customWidth="1"/>
    <col min="2" max="2" width="16.42578125" hidden="0" customWidth="1"/>
    <col min="3" max="3" width="23.5703125" hidden="0" customWidth="1"/>
    <col min="4" max="4" width="7.5703125" hidden="0" customWidth="1"/>
    <col min="5" max="5" width="6" hidden="0" customWidth="1"/>
    <col min="6" max="6" width="9.42578125" hidden="0" customWidth="1"/>
    <col min="7" max="7" width="12.7109375" hidden="0" customWidth="1"/>
  </cols>
  <sheetData>
    <row r="1">
      <c r="A1" t="s">
        <v>1100</v>
      </c>
      <c r="B1" t="s">
        <v>1101</v>
      </c>
      <c r="C1" t="s">
        <v>1102</v>
      </c>
      <c r="D1" t="s">
        <v>1103</v>
      </c>
      <c r="E1" t="s">
        <v>1104</v>
      </c>
      <c r="F1" t="s">
        <v>1105</v>
      </c>
      <c r="G1" t="s">
        <v>1106</v>
      </c>
    </row>
    <row r="2">
      <c r="A2" t="s">
        <v>1107</v>
      </c>
      <c r="B2" t="s">
        <v>1108</v>
      </c>
      <c r="C2" t="s">
        <v>1109</v>
      </c>
      <c r="D2" s="21" t="n">
        <v>0.063</v>
      </c>
      <c r="E2" s="21" t="n">
        <v>0.063</v>
      </c>
      <c r="F2" t="n">
        <v>-0.72</v>
      </c>
      <c r="G2" t="s">
        <v>1110</v>
      </c>
    </row>
    <row r="3">
      <c r="A3" t="s">
        <v>1111</v>
      </c>
      <c r="B3" t="s">
        <v>1112</v>
      </c>
      <c r="C3" t="s">
        <v>1113</v>
      </c>
      <c r="D3" s="21" t="n">
        <v>0.758</v>
      </c>
      <c r="E3" s="21" t="n">
        <v>0.758</v>
      </c>
      <c r="F3" t="n">
        <v>-0.09</v>
      </c>
      <c r="G3" t="s">
        <v>1114</v>
      </c>
    </row>
    <row r="4">
      <c r="A4" t="s">
        <v>1111</v>
      </c>
      <c r="B4" t="s">
        <v>1115</v>
      </c>
      <c r="C4" t="s">
        <v>1116</v>
      </c>
      <c r="D4" s="21" t="n">
        <v>0.664</v>
      </c>
      <c r="E4" s="21" t="n">
        <v>0.758</v>
      </c>
      <c r="F4" t="n">
        <v>0.15</v>
      </c>
      <c r="G4" t="s">
        <v>1114</v>
      </c>
    </row>
    <row r="5">
      <c r="A5" t="s">
        <v>1111</v>
      </c>
      <c r="B5" t="s">
        <v>1117</v>
      </c>
      <c r="C5" t="s">
        <v>1118</v>
      </c>
      <c r="D5" s="21" t="n">
        <v>0.181</v>
      </c>
      <c r="E5" s="21" t="n">
        <v>0.313</v>
      </c>
      <c r="F5" t="n">
        <v>-0.46</v>
      </c>
      <c r="G5" t="s">
        <v>1119</v>
      </c>
    </row>
    <row r="6">
      <c r="A6" t="s">
        <v>1111</v>
      </c>
      <c r="B6" t="s">
        <v>1120</v>
      </c>
      <c r="C6" t="s">
        <v>1121</v>
      </c>
      <c r="D6" s="21" t="n">
        <v>0.752</v>
      </c>
      <c r="E6" s="21" t="n">
        <v>0.758</v>
      </c>
      <c r="F6" t="n">
        <v>0.11</v>
      </c>
      <c r="G6" t="s">
        <v>1114</v>
      </c>
    </row>
    <row r="7">
      <c r="A7" t="s">
        <v>1111</v>
      </c>
      <c r="B7" t="s">
        <v>1122</v>
      </c>
      <c r="C7" t="s">
        <v>1123</v>
      </c>
      <c r="D7" s="21" t="n">
        <v>0.607</v>
      </c>
      <c r="E7" s="21" t="n">
        <v>0.758</v>
      </c>
      <c r="F7" t="n">
        <v>0.2</v>
      </c>
      <c r="G7" t="s">
        <v>1114</v>
      </c>
    </row>
    <row r="8">
      <c r="A8" t="s">
        <v>1111</v>
      </c>
      <c r="B8" t="s">
        <v>1124</v>
      </c>
      <c r="C8" t="s">
        <v>1125</v>
      </c>
      <c r="D8" s="21" t="n">
        <v>0.039</v>
      </c>
      <c r="E8" s="21" t="n">
        <v>0.16</v>
      </c>
      <c r="F8" t="n">
        <v>-0.64</v>
      </c>
      <c r="G8" t="s">
        <v>1110</v>
      </c>
    </row>
    <row r="9">
      <c r="A9" t="s">
        <v>1111</v>
      </c>
      <c r="B9" t="s">
        <v>1126</v>
      </c>
      <c r="C9" t="s">
        <v>1127</v>
      </c>
      <c r="D9" s="21" t="n">
        <v>0.031</v>
      </c>
      <c r="E9" s="21" t="n">
        <v>0.16</v>
      </c>
      <c r="F9" t="n">
        <v>-0.71</v>
      </c>
      <c r="G9" t="s">
        <v>1110</v>
      </c>
    </row>
    <row r="10">
      <c r="A10" t="s">
        <v>1111</v>
      </c>
      <c r="B10" t="s">
        <v>1128</v>
      </c>
      <c r="C10" t="s">
        <v>1129</v>
      </c>
      <c r="D10" s="21" t="n">
        <v>0.192</v>
      </c>
      <c r="E10" s="21" t="n">
        <v>0.313</v>
      </c>
      <c r="F10" t="n">
        <v>-0.36</v>
      </c>
      <c r="G10" t="s">
        <v>1119</v>
      </c>
    </row>
    <row r="11">
      <c r="A11" t="s">
        <v>1111</v>
      </c>
      <c r="B11" t="s">
        <v>1130</v>
      </c>
      <c r="C11" t="s">
        <v>1131</v>
      </c>
      <c r="D11" s="21" t="n">
        <v>0.209</v>
      </c>
      <c r="E11" s="21" t="n">
        <v>0.313</v>
      </c>
      <c r="F11" t="n">
        <v>-0.34</v>
      </c>
      <c r="G11" t="s">
        <v>1119</v>
      </c>
    </row>
    <row r="12">
      <c r="A12" t="s">
        <v>1111</v>
      </c>
      <c r="B12" t="s">
        <v>1132</v>
      </c>
      <c r="C12" t="s">
        <v>1133</v>
      </c>
      <c r="D12" s="21" t="n">
        <v>0.041</v>
      </c>
      <c r="E12" s="21" t="n">
        <v>0.16</v>
      </c>
      <c r="F12" t="n">
        <v>-0.65</v>
      </c>
      <c r="G12" t="s">
        <v>1110</v>
      </c>
    </row>
    <row r="13">
      <c r="A13" t="s">
        <v>1111</v>
      </c>
      <c r="B13" t="s">
        <v>1134</v>
      </c>
      <c r="C13" t="s">
        <v>1135</v>
      </c>
      <c r="D13" s="21" t="n">
        <v>0.053</v>
      </c>
      <c r="E13" s="21" t="n">
        <v>0.16</v>
      </c>
      <c r="F13" t="n">
        <v>-0.64</v>
      </c>
      <c r="G13" t="s">
        <v>1110</v>
      </c>
    </row>
    <row r="14">
      <c r="A14" t="s">
        <v>1111</v>
      </c>
      <c r="B14" t="s">
        <v>1136</v>
      </c>
      <c r="C14" t="s">
        <v>1137</v>
      </c>
      <c r="D14" s="21" t="n">
        <v>0.096</v>
      </c>
      <c r="E14" s="21" t="n">
        <v>0.23</v>
      </c>
      <c r="F14" s="22" t="n">
        <v>-0.6</v>
      </c>
      <c r="G14" t="s">
        <v>1110</v>
      </c>
    </row>
    <row r="15">
      <c r="A15" t="s">
        <v>1138</v>
      </c>
      <c r="B15" t="s">
        <v>1139</v>
      </c>
      <c r="C15" t="s">
        <v>1140</v>
      </c>
      <c r="D15" s="21" t="n">
        <v>0.976</v>
      </c>
      <c r="E15" s="21" t="n">
        <v>0.981</v>
      </c>
      <c r="F15" t="n">
        <v>-0.01</v>
      </c>
      <c r="G15" t="s">
        <v>1114</v>
      </c>
    </row>
    <row r="16">
      <c r="A16" t="s">
        <v>1138</v>
      </c>
      <c r="B16" t="s">
        <v>1141</v>
      </c>
      <c r="C16" t="s">
        <v>1142</v>
      </c>
      <c r="D16" s="21" t="n">
        <v>0.4</v>
      </c>
      <c r="E16" s="21" t="n">
        <v>0.916</v>
      </c>
      <c r="F16" t="n">
        <v>0.32</v>
      </c>
      <c r="G16" t="s">
        <v>1119</v>
      </c>
    </row>
    <row r="17">
      <c r="A17" t="s">
        <v>1138</v>
      </c>
      <c r="B17" t="s">
        <v>1143</v>
      </c>
      <c r="C17" t="s">
        <v>1144</v>
      </c>
      <c r="D17" s="21" t="n">
        <v>0.563</v>
      </c>
      <c r="E17" s="21" t="n">
        <v>0.916</v>
      </c>
      <c r="F17" t="n">
        <v>0.22</v>
      </c>
      <c r="G17" t="s">
        <v>1119</v>
      </c>
    </row>
    <row r="18">
      <c r="A18" t="s">
        <v>1138</v>
      </c>
      <c r="B18" t="s">
        <v>1145</v>
      </c>
      <c r="C18" t="s">
        <v>1146</v>
      </c>
      <c r="D18" s="21" t="n">
        <v>0.909</v>
      </c>
      <c r="E18" s="21" t="n">
        <v>0.981</v>
      </c>
      <c r="F18" t="n">
        <v>-0.04</v>
      </c>
      <c r="G18" t="s">
        <v>1114</v>
      </c>
    </row>
    <row r="19">
      <c r="A19" t="s">
        <v>1138</v>
      </c>
      <c r="B19" t="s">
        <v>1147</v>
      </c>
      <c r="C19" t="s">
        <v>1148</v>
      </c>
      <c r="D19" s="21" t="n">
        <v>0.311</v>
      </c>
      <c r="E19" s="21" t="n">
        <v>0.916</v>
      </c>
      <c r="F19" t="n">
        <v>-0.28</v>
      </c>
      <c r="G19" t="s">
        <v>1119</v>
      </c>
    </row>
    <row r="20">
      <c r="A20" t="s">
        <v>1138</v>
      </c>
      <c r="B20" t="s">
        <v>1149</v>
      </c>
      <c r="C20" t="s">
        <v>1150</v>
      </c>
      <c r="D20" s="21" t="n">
        <v>0.507</v>
      </c>
      <c r="E20" s="21" t="n">
        <v>0.916</v>
      </c>
      <c r="F20" t="n">
        <v>-0.19</v>
      </c>
      <c r="G20" t="s">
        <v>1114</v>
      </c>
    </row>
    <row r="21">
      <c r="A21" t="s">
        <v>1138</v>
      </c>
      <c r="B21" t="s">
        <v>1151</v>
      </c>
      <c r="C21" t="s">
        <v>1152</v>
      </c>
      <c r="D21" s="21" t="n">
        <v>0.452</v>
      </c>
      <c r="E21" s="21" t="n">
        <v>0.916</v>
      </c>
      <c r="F21" t="n">
        <v>-0.28</v>
      </c>
      <c r="G21" t="s">
        <v>1119</v>
      </c>
    </row>
    <row r="22">
      <c r="A22" t="s">
        <v>1138</v>
      </c>
      <c r="B22" t="s">
        <v>1153</v>
      </c>
      <c r="C22" t="s">
        <v>1154</v>
      </c>
      <c r="D22" s="21" t="n">
        <v>0.339</v>
      </c>
      <c r="E22" s="21" t="n">
        <v>0.916</v>
      </c>
      <c r="F22" t="n">
        <v>-0.31</v>
      </c>
      <c r="G22" t="s">
        <v>1119</v>
      </c>
    </row>
    <row r="23">
      <c r="A23" t="s">
        <v>1138</v>
      </c>
      <c r="B23" t="s">
        <v>1155</v>
      </c>
      <c r="C23" t="s">
        <v>1156</v>
      </c>
      <c r="D23" s="21" t="n">
        <v>0.981</v>
      </c>
      <c r="E23" s="21" t="n">
        <v>0.981</v>
      </c>
      <c r="F23" t="n">
        <v>0.01</v>
      </c>
      <c r="G23" t="s">
        <v>1114</v>
      </c>
    </row>
    <row r="24">
      <c r="A24" t="s">
        <v>1138</v>
      </c>
      <c r="B24" t="s">
        <v>1157</v>
      </c>
      <c r="C24" t="s">
        <v>1158</v>
      </c>
      <c r="D24" s="21" t="n">
        <v>0.728</v>
      </c>
      <c r="E24" s="21" t="n">
        <v>0.946</v>
      </c>
      <c r="F24" t="n">
        <v>-0.11</v>
      </c>
      <c r="G24" t="s">
        <v>1114</v>
      </c>
    </row>
    <row r="25">
      <c r="A25" t="s">
        <v>1138</v>
      </c>
      <c r="B25" t="s">
        <v>1159</v>
      </c>
      <c r="C25" t="s">
        <v>1160</v>
      </c>
      <c r="D25" s="21" t="n">
        <v>0.653</v>
      </c>
      <c r="E25" s="21" t="n">
        <v>0.943</v>
      </c>
      <c r="F25" t="n">
        <v>-0.17</v>
      </c>
      <c r="G25" t="s">
        <v>1114</v>
      </c>
    </row>
    <row r="26">
      <c r="A26" t="s">
        <v>1138</v>
      </c>
      <c r="B26" t="s">
        <v>1161</v>
      </c>
      <c r="C26" t="s">
        <v>1162</v>
      </c>
      <c r="D26" s="21" t="n">
        <v>0.188</v>
      </c>
      <c r="E26" s="21" t="n">
        <v>0.916</v>
      </c>
      <c r="F26" t="n">
        <v>0.4</v>
      </c>
      <c r="G26" t="s">
        <v>1119</v>
      </c>
    </row>
    <row r="27">
      <c r="A27" t="s">
        <v>1138</v>
      </c>
      <c r="B27" t="s">
        <v>1163</v>
      </c>
      <c r="C27" t="s">
        <v>1164</v>
      </c>
      <c r="D27" s="21" t="n">
        <v>0.188</v>
      </c>
      <c r="E27" s="21" t="n">
        <v>0.916</v>
      </c>
      <c r="F27" t="n">
        <v>-0.4</v>
      </c>
      <c r="G27" t="s">
        <v>1119</v>
      </c>
    </row>
  </sheetData>
  <conditionalFormatting sqref="D2:E27">
    <cfRule type="cellIs" dxfId="15" priority="3" operator="lessThan">
      <formula>0.05</formula>
    </cfRule>
  </conditionalFormatting>
  <conditionalFormatting sqref="F2:F27">
    <cfRule type="cellIs" dxfId="14" priority="1" operator="greaterThan">
      <formula>0.5</formula>
    </cfRule>
    <cfRule type="cellIs" dxfId="13" priority="2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39997558519241921"/>
  </sheetPr>
  <dimension ref="A1"/>
  <sheetViews>
    <sheetView topLeftCell="A49" zoomScale="175" zoomScaleNormal="175" workbookViewId="0">
      <selection activeCell="H2" sqref="D2:H6"/>
    </sheetView>
  </sheetViews>
  <sheetFormatPr defaultRowHeight="15.0" baseColWidth="10"/>
  <cols>
    <col min="1" max="1" width="7.7109375" hidden="0" customWidth="1"/>
    <col min="2" max="2" width="16.42578125" hidden="0" customWidth="1"/>
    <col min="3" max="3" width="23.5703125" hidden="0" customWidth="1"/>
    <col min="4" max="4" width="23.28515625" hidden="0" customWidth="1"/>
    <col min="5" max="5" width="7.5703125" hidden="0" customWidth="1"/>
    <col min="6" max="6" width="6" hidden="0" customWidth="1"/>
    <col min="7" max="7" width="9.42578125" hidden="0" customWidth="1"/>
  </cols>
  <sheetData>
    <row r="1">
      <c r="A1" t="s">
        <v>1100</v>
      </c>
      <c r="B1" t="s">
        <v>1101</v>
      </c>
      <c r="C1" t="s">
        <v>1165</v>
      </c>
      <c r="D1" t="s">
        <v>1102</v>
      </c>
      <c r="E1" t="s">
        <v>1103</v>
      </c>
      <c r="F1" t="s">
        <v>1104</v>
      </c>
      <c r="G1" t="s">
        <v>1105</v>
      </c>
      <c r="H1" t="s">
        <v>1106</v>
      </c>
    </row>
    <row r="2">
      <c r="A2" t="s">
        <v>1107</v>
      </c>
      <c r="B2" t="s">
        <v>1108</v>
      </c>
      <c r="C2" t="s">
        <v>1166</v>
      </c>
      <c r="D2" t="s">
        <v>1167</v>
      </c>
      <c r="E2" s="21" t="n">
        <v>0.424</v>
      </c>
      <c r="F2" s="21" t="n">
        <v>0.424</v>
      </c>
      <c r="G2" t="n">
        <v>0.31</v>
      </c>
      <c r="H2" t="s">
        <v>1119</v>
      </c>
    </row>
    <row r="3">
      <c r="A3" t="s">
        <v>1107</v>
      </c>
      <c r="B3" t="s">
        <v>1108</v>
      </c>
      <c r="C3" t="s">
        <v>1168</v>
      </c>
      <c r="D3" t="s">
        <v>1169</v>
      </c>
      <c r="E3" s="21" t="n">
        <v>0.642</v>
      </c>
      <c r="F3" s="21" t="n">
        <v>0.642</v>
      </c>
      <c r="G3" t="n">
        <v>0.2</v>
      </c>
      <c r="H3" t="s">
        <v>1119</v>
      </c>
    </row>
    <row r="4">
      <c r="A4" t="s">
        <v>1107</v>
      </c>
      <c r="B4" t="s">
        <v>1108</v>
      </c>
      <c r="C4" t="s">
        <v>1170</v>
      </c>
      <c r="D4" t="s">
        <v>1171</v>
      </c>
      <c r="E4" s="21" t="n">
        <v>0.75</v>
      </c>
      <c r="F4" s="21" t="n">
        <v>0.75</v>
      </c>
      <c r="G4" t="n">
        <v>0.13</v>
      </c>
      <c r="H4" t="s">
        <v>1114</v>
      </c>
    </row>
    <row r="5">
      <c r="A5" t="s">
        <v>1111</v>
      </c>
      <c r="B5" t="s">
        <v>1112</v>
      </c>
      <c r="C5" t="s">
        <v>1166</v>
      </c>
      <c r="D5" t="s">
        <v>1172</v>
      </c>
      <c r="E5" s="21" t="n">
        <v>0.328</v>
      </c>
      <c r="F5" s="21" t="n">
        <v>0.595</v>
      </c>
      <c r="G5" t="n">
        <v>-0.39</v>
      </c>
      <c r="H5" t="s">
        <v>1119</v>
      </c>
    </row>
    <row r="6">
      <c r="A6" t="s">
        <v>1111</v>
      </c>
      <c r="B6" t="s">
        <v>1112</v>
      </c>
      <c r="C6" t="s">
        <v>1168</v>
      </c>
      <c r="D6" t="s">
        <v>1173</v>
      </c>
      <c r="E6" s="21" t="n">
        <v>0.17</v>
      </c>
      <c r="F6" s="21" t="n">
        <v>0.442</v>
      </c>
      <c r="G6" s="23" t="n">
        <v>-0.5</v>
      </c>
      <c r="H6" t="s">
        <v>1119</v>
      </c>
    </row>
    <row r="7">
      <c r="A7" t="s">
        <v>1111</v>
      </c>
      <c r="B7" t="s">
        <v>1112</v>
      </c>
      <c r="C7" t="s">
        <v>1170</v>
      </c>
      <c r="D7" t="s">
        <v>1174</v>
      </c>
      <c r="E7" s="21" t="n">
        <v>0.161</v>
      </c>
      <c r="F7" s="21" t="n">
        <v>0.443</v>
      </c>
      <c r="G7" s="23" t="n">
        <v>-0.5</v>
      </c>
      <c r="H7" t="s">
        <v>1110</v>
      </c>
    </row>
    <row r="8">
      <c r="A8" t="s">
        <v>1111</v>
      </c>
      <c r="B8" t="s">
        <v>1115</v>
      </c>
      <c r="C8" t="s">
        <v>1166</v>
      </c>
      <c r="D8" t="s">
        <v>1175</v>
      </c>
      <c r="E8" s="21" t="n">
        <v>0.74</v>
      </c>
      <c r="F8" s="21" t="n">
        <v>0.888</v>
      </c>
      <c r="G8" t="n">
        <v>-0.12</v>
      </c>
      <c r="H8" t="s">
        <v>1114</v>
      </c>
    </row>
    <row r="9">
      <c r="A9" t="s">
        <v>1111</v>
      </c>
      <c r="B9" t="s">
        <v>1115</v>
      </c>
      <c r="C9" t="s">
        <v>1168</v>
      </c>
      <c r="D9" t="s">
        <v>1176</v>
      </c>
      <c r="E9" s="21" t="n">
        <v>0.887</v>
      </c>
      <c r="F9" s="21" t="n">
        <v>0.917</v>
      </c>
      <c r="G9" t="n">
        <v>0.05</v>
      </c>
      <c r="H9" t="s">
        <v>1114</v>
      </c>
    </row>
    <row r="10">
      <c r="A10" t="s">
        <v>1111</v>
      </c>
      <c r="B10" t="s">
        <v>1115</v>
      </c>
      <c r="C10" t="s">
        <v>1170</v>
      </c>
      <c r="D10" t="s">
        <v>1177</v>
      </c>
      <c r="E10" s="21" t="n">
        <v>0.941</v>
      </c>
      <c r="F10" s="21" t="n">
        <v>0.941</v>
      </c>
      <c r="G10" t="n">
        <v>0.02</v>
      </c>
      <c r="H10" t="s">
        <v>1114</v>
      </c>
    </row>
    <row r="11">
      <c r="A11" t="s">
        <v>1111</v>
      </c>
      <c r="B11" t="s">
        <v>1117</v>
      </c>
      <c r="C11" t="s">
        <v>1166</v>
      </c>
      <c r="D11" t="s">
        <v>1178</v>
      </c>
      <c r="E11" s="21" t="n">
        <v>0.693</v>
      </c>
      <c r="F11" s="21" t="n">
        <v>0.888</v>
      </c>
      <c r="G11" t="n">
        <v>0.14</v>
      </c>
      <c r="H11" t="s">
        <v>1114</v>
      </c>
    </row>
    <row r="12">
      <c r="A12" t="s">
        <v>1111</v>
      </c>
      <c r="B12" t="s">
        <v>1117</v>
      </c>
      <c r="C12" t="s">
        <v>1168</v>
      </c>
      <c r="D12" t="s">
        <v>1179</v>
      </c>
      <c r="E12" s="21" t="n">
        <v>0.483</v>
      </c>
      <c r="F12" s="21" t="n">
        <v>0.703</v>
      </c>
      <c r="G12" t="n">
        <v>0.24</v>
      </c>
      <c r="H12" t="s">
        <v>1119</v>
      </c>
    </row>
    <row r="13">
      <c r="A13" t="s">
        <v>1111</v>
      </c>
      <c r="B13" t="s">
        <v>1117</v>
      </c>
      <c r="C13" t="s">
        <v>1170</v>
      </c>
      <c r="D13" t="s">
        <v>1180</v>
      </c>
      <c r="E13" s="21" t="n">
        <v>0.486</v>
      </c>
      <c r="F13" s="21" t="n">
        <v>0.693</v>
      </c>
      <c r="G13" t="n">
        <v>0.23</v>
      </c>
      <c r="H13" t="s">
        <v>1119</v>
      </c>
    </row>
    <row r="14">
      <c r="A14" t="s">
        <v>1111</v>
      </c>
      <c r="B14" t="s">
        <v>1120</v>
      </c>
      <c r="C14" t="s">
        <v>1166</v>
      </c>
      <c r="D14" t="s">
        <v>1181</v>
      </c>
      <c r="E14" s="21" t="n">
        <v>0.313</v>
      </c>
      <c r="F14" s="21" t="n">
        <v>0.595</v>
      </c>
      <c r="G14" t="n">
        <v>-0.37</v>
      </c>
      <c r="H14" t="s">
        <v>1119</v>
      </c>
    </row>
    <row r="15">
      <c r="A15" t="s">
        <v>1111</v>
      </c>
      <c r="B15" t="s">
        <v>1120</v>
      </c>
      <c r="C15" t="s">
        <v>1168</v>
      </c>
      <c r="D15" t="s">
        <v>1182</v>
      </c>
      <c r="E15" s="21" t="n">
        <v>0.221</v>
      </c>
      <c r="F15" s="21" t="n">
        <v>0.442</v>
      </c>
      <c r="G15" t="n">
        <v>-0.43</v>
      </c>
      <c r="H15" t="s">
        <v>1119</v>
      </c>
    </row>
    <row r="16">
      <c r="A16" t="s">
        <v>1111</v>
      </c>
      <c r="B16" t="s">
        <v>1120</v>
      </c>
      <c r="C16" t="s">
        <v>1170</v>
      </c>
      <c r="D16" t="s">
        <v>1183</v>
      </c>
      <c r="E16" s="21" t="n">
        <v>0.184</v>
      </c>
      <c r="F16" s="21" t="n">
        <v>0.443</v>
      </c>
      <c r="G16" t="n">
        <v>-0.46</v>
      </c>
      <c r="H16" t="s">
        <v>1119</v>
      </c>
    </row>
    <row r="17">
      <c r="A17" t="s">
        <v>1111</v>
      </c>
      <c r="B17" t="s">
        <v>1122</v>
      </c>
      <c r="C17" t="s">
        <v>1166</v>
      </c>
      <c r="D17" t="s">
        <v>1184</v>
      </c>
      <c r="E17" s="21" t="n">
        <v>0.257</v>
      </c>
      <c r="F17" s="21" t="n">
        <v>0.595</v>
      </c>
      <c r="G17" t="n">
        <v>0.4</v>
      </c>
      <c r="H17" t="s">
        <v>1119</v>
      </c>
    </row>
    <row r="18">
      <c r="A18" t="s">
        <v>1111</v>
      </c>
      <c r="B18" t="s">
        <v>1122</v>
      </c>
      <c r="C18" t="s">
        <v>1168</v>
      </c>
      <c r="D18" t="s">
        <v>1185</v>
      </c>
      <c r="E18" s="21" t="n">
        <v>0.392</v>
      </c>
      <c r="F18" s="21" t="n">
        <v>0.672</v>
      </c>
      <c r="G18" t="n">
        <v>0.27</v>
      </c>
      <c r="H18" t="s">
        <v>1119</v>
      </c>
    </row>
    <row r="19">
      <c r="A19" t="s">
        <v>1111</v>
      </c>
      <c r="B19" t="s">
        <v>1122</v>
      </c>
      <c r="C19" t="s">
        <v>1170</v>
      </c>
      <c r="D19" t="s">
        <v>1186</v>
      </c>
      <c r="E19" s="21" t="n">
        <v>0.469</v>
      </c>
      <c r="F19" s="21" t="n">
        <v>0.693</v>
      </c>
      <c r="G19" t="n">
        <v>0.24</v>
      </c>
      <c r="H19" t="s">
        <v>1119</v>
      </c>
    </row>
    <row r="20">
      <c r="A20" t="s">
        <v>1111</v>
      </c>
      <c r="B20" t="s">
        <v>1124</v>
      </c>
      <c r="C20" t="s">
        <v>1166</v>
      </c>
      <c r="D20" t="s">
        <v>1187</v>
      </c>
      <c r="E20" s="21" t="n">
        <v>0.513</v>
      </c>
      <c r="F20" s="21" t="n">
        <v>0.77</v>
      </c>
      <c r="G20" t="n">
        <v>-0.23</v>
      </c>
      <c r="H20" t="s">
        <v>1119</v>
      </c>
    </row>
    <row r="21">
      <c r="A21" t="s">
        <v>1111</v>
      </c>
      <c r="B21" t="s">
        <v>1124</v>
      </c>
      <c r="C21" t="s">
        <v>1168</v>
      </c>
      <c r="D21" t="s">
        <v>1188</v>
      </c>
      <c r="E21" s="21" t="n">
        <v>0.22</v>
      </c>
      <c r="F21" s="21" t="n">
        <v>0.442</v>
      </c>
      <c r="G21" t="n">
        <v>-0.38</v>
      </c>
      <c r="H21" t="s">
        <v>1119</v>
      </c>
    </row>
    <row r="22">
      <c r="A22" t="s">
        <v>1111</v>
      </c>
      <c r="B22" t="s">
        <v>1124</v>
      </c>
      <c r="C22" t="s">
        <v>1170</v>
      </c>
      <c r="D22" t="s">
        <v>1189</v>
      </c>
      <c r="E22" s="21" t="n">
        <v>0.3</v>
      </c>
      <c r="F22" s="21" t="n">
        <v>0.599</v>
      </c>
      <c r="G22" t="n">
        <v>-0.34</v>
      </c>
      <c r="H22" t="s">
        <v>1119</v>
      </c>
    </row>
    <row r="23">
      <c r="A23" t="s">
        <v>1111</v>
      </c>
      <c r="B23" t="s">
        <v>1126</v>
      </c>
      <c r="C23" t="s">
        <v>1166</v>
      </c>
      <c r="D23" t="s">
        <v>1190</v>
      </c>
      <c r="E23" s="21" t="n">
        <v>0.983</v>
      </c>
      <c r="F23" s="21" t="n">
        <v>0.983</v>
      </c>
      <c r="G23" t="n">
        <v>0.01</v>
      </c>
      <c r="H23" t="s">
        <v>1114</v>
      </c>
    </row>
    <row r="24">
      <c r="A24" t="s">
        <v>1111</v>
      </c>
      <c r="B24" t="s">
        <v>1126</v>
      </c>
      <c r="C24" t="s">
        <v>1168</v>
      </c>
      <c r="D24" t="s">
        <v>1191</v>
      </c>
      <c r="E24" s="21" t="n">
        <v>0.598</v>
      </c>
      <c r="F24" s="21" t="n">
        <v>0.718</v>
      </c>
      <c r="G24" t="n">
        <v>0.18</v>
      </c>
      <c r="H24" t="s">
        <v>1114</v>
      </c>
    </row>
    <row r="25">
      <c r="A25" t="s">
        <v>1111</v>
      </c>
      <c r="B25" t="s">
        <v>1126</v>
      </c>
      <c r="C25" t="s">
        <v>1170</v>
      </c>
      <c r="D25" t="s">
        <v>1192</v>
      </c>
      <c r="E25" s="21" t="n">
        <v>0.578</v>
      </c>
      <c r="F25" s="21" t="n">
        <v>0.693</v>
      </c>
      <c r="G25" t="n">
        <v>0.18</v>
      </c>
      <c r="H25" t="s">
        <v>1114</v>
      </c>
    </row>
    <row r="26">
      <c r="A26" t="s">
        <v>1111</v>
      </c>
      <c r="B26" t="s">
        <v>1128</v>
      </c>
      <c r="C26" t="s">
        <v>1166</v>
      </c>
      <c r="D26" t="s">
        <v>1193</v>
      </c>
      <c r="E26" s="21" t="n">
        <v>0.056</v>
      </c>
      <c r="F26" s="21" t="n">
        <v>0.595</v>
      </c>
      <c r="G26" t="n">
        <v>0.66</v>
      </c>
      <c r="H26" t="s">
        <v>1110</v>
      </c>
    </row>
    <row r="27">
      <c r="A27" t="s">
        <v>1111</v>
      </c>
      <c r="B27" t="s">
        <v>1128</v>
      </c>
      <c r="C27" t="s">
        <v>1168</v>
      </c>
      <c r="D27" t="s">
        <v>1194</v>
      </c>
      <c r="E27" s="21" t="n">
        <v>0.042</v>
      </c>
      <c r="F27" s="21" t="n">
        <v>0.442</v>
      </c>
      <c r="G27" t="n">
        <v>0.65</v>
      </c>
      <c r="H27" t="s">
        <v>1110</v>
      </c>
    </row>
    <row r="28">
      <c r="A28" t="s">
        <v>1111</v>
      </c>
      <c r="B28" t="s">
        <v>1128</v>
      </c>
      <c r="C28" t="s">
        <v>1170</v>
      </c>
      <c r="D28" t="s">
        <v>1194</v>
      </c>
      <c r="E28" s="21" t="n">
        <v>0.037</v>
      </c>
      <c r="F28" s="21" t="n">
        <v>0.443</v>
      </c>
      <c r="G28" t="n">
        <v>0.65</v>
      </c>
      <c r="H28" t="s">
        <v>1110</v>
      </c>
    </row>
    <row r="29">
      <c r="A29" t="s">
        <v>1111</v>
      </c>
      <c r="B29" t="s">
        <v>1130</v>
      </c>
      <c r="C29" t="s">
        <v>1166</v>
      </c>
      <c r="D29" t="s">
        <v>1195</v>
      </c>
      <c r="E29" s="21" t="n">
        <v>0.881</v>
      </c>
      <c r="F29" s="21" t="n">
        <v>0.961</v>
      </c>
      <c r="G29" t="n">
        <v>-0.05</v>
      </c>
      <c r="H29" t="s">
        <v>1114</v>
      </c>
    </row>
    <row r="30">
      <c r="A30" t="s">
        <v>1111</v>
      </c>
      <c r="B30" t="s">
        <v>1130</v>
      </c>
      <c r="C30" t="s">
        <v>1168</v>
      </c>
      <c r="D30" t="s">
        <v>1196</v>
      </c>
      <c r="E30" s="21" t="n">
        <v>0.917</v>
      </c>
      <c r="F30" s="21" t="n">
        <v>0.917</v>
      </c>
      <c r="G30" t="n">
        <v>0.04</v>
      </c>
      <c r="H30" t="s">
        <v>1114</v>
      </c>
    </row>
    <row r="31">
      <c r="A31" t="s">
        <v>1111</v>
      </c>
      <c r="B31" t="s">
        <v>1130</v>
      </c>
      <c r="C31" t="s">
        <v>1170</v>
      </c>
      <c r="D31" t="s">
        <v>1197</v>
      </c>
      <c r="E31" s="21" t="n">
        <v>0.894</v>
      </c>
      <c r="F31" s="21" t="n">
        <v>0.941</v>
      </c>
      <c r="G31" t="n">
        <v>0.04</v>
      </c>
      <c r="H31" t="s">
        <v>1114</v>
      </c>
    </row>
    <row r="32">
      <c r="A32" t="s">
        <v>1111</v>
      </c>
      <c r="B32" t="s">
        <v>1132</v>
      </c>
      <c r="C32" t="s">
        <v>1166</v>
      </c>
      <c r="D32" t="s">
        <v>1198</v>
      </c>
      <c r="E32" s="21" t="n">
        <v>0.347</v>
      </c>
      <c r="F32" s="21" t="n">
        <v>0.595</v>
      </c>
      <c r="G32" t="n">
        <v>0.33</v>
      </c>
      <c r="H32" t="s">
        <v>1119</v>
      </c>
    </row>
    <row r="33">
      <c r="A33" t="s">
        <v>1111</v>
      </c>
      <c r="B33" t="s">
        <v>1132</v>
      </c>
      <c r="C33" t="s">
        <v>1168</v>
      </c>
      <c r="D33" t="s">
        <v>1199</v>
      </c>
      <c r="E33" s="21" t="n">
        <v>0.528</v>
      </c>
      <c r="F33" s="21" t="n">
        <v>0.703</v>
      </c>
      <c r="G33" t="n">
        <v>0.21</v>
      </c>
      <c r="H33" t="s">
        <v>1119</v>
      </c>
    </row>
    <row r="34">
      <c r="A34" t="s">
        <v>1111</v>
      </c>
      <c r="B34" t="s">
        <v>1132</v>
      </c>
      <c r="C34" t="s">
        <v>1170</v>
      </c>
      <c r="D34" t="s">
        <v>1200</v>
      </c>
      <c r="E34" s="21" t="n">
        <v>0.521</v>
      </c>
      <c r="F34" s="21" t="n">
        <v>0.693</v>
      </c>
      <c r="G34" t="n">
        <v>0.21</v>
      </c>
      <c r="H34" t="s">
        <v>1119</v>
      </c>
    </row>
    <row r="35">
      <c r="A35" t="s">
        <v>1111</v>
      </c>
      <c r="B35" t="s">
        <v>1134</v>
      </c>
      <c r="C35" t="s">
        <v>1166</v>
      </c>
      <c r="D35" t="s">
        <v>1201</v>
      </c>
      <c r="E35" s="21" t="n">
        <v>0.324</v>
      </c>
      <c r="F35" s="21" t="n">
        <v>0.595</v>
      </c>
      <c r="G35" t="n">
        <v>-0.34</v>
      </c>
      <c r="H35" t="s">
        <v>1119</v>
      </c>
    </row>
    <row r="36">
      <c r="A36" t="s">
        <v>1111</v>
      </c>
      <c r="B36" t="s">
        <v>1134</v>
      </c>
      <c r="C36" t="s">
        <v>1168</v>
      </c>
      <c r="D36" t="s">
        <v>1202</v>
      </c>
      <c r="E36" s="21" t="n">
        <v>0.143</v>
      </c>
      <c r="F36" s="21" t="n">
        <v>0.442</v>
      </c>
      <c r="G36" t="n">
        <v>-0.46</v>
      </c>
      <c r="H36" t="s">
        <v>1119</v>
      </c>
    </row>
    <row r="37">
      <c r="A37" t="s">
        <v>1111</v>
      </c>
      <c r="B37" t="s">
        <v>1134</v>
      </c>
      <c r="C37" t="s">
        <v>1170</v>
      </c>
      <c r="D37" t="s">
        <v>1203</v>
      </c>
      <c r="E37" s="21" t="n">
        <v>0.184</v>
      </c>
      <c r="F37" s="21" t="n">
        <v>0.443</v>
      </c>
      <c r="G37" t="n">
        <v>-0.42</v>
      </c>
      <c r="H37" t="s">
        <v>1119</v>
      </c>
    </row>
    <row r="38">
      <c r="A38" t="s">
        <v>1111</v>
      </c>
      <c r="B38" t="s">
        <v>1136</v>
      </c>
      <c r="C38" t="s">
        <v>1166</v>
      </c>
      <c r="D38" t="s">
        <v>1204</v>
      </c>
      <c r="E38" s="21" t="n">
        <v>0.21</v>
      </c>
      <c r="F38" s="21" t="n">
        <v>0.595</v>
      </c>
      <c r="G38" t="n">
        <v>-0.43</v>
      </c>
      <c r="H38" t="s">
        <v>1119</v>
      </c>
    </row>
    <row r="39">
      <c r="A39" t="s">
        <v>1111</v>
      </c>
      <c r="B39" t="s">
        <v>1136</v>
      </c>
      <c r="C39" t="s">
        <v>1168</v>
      </c>
      <c r="D39" t="s">
        <v>1205</v>
      </c>
      <c r="E39" s="21" t="n">
        <v>0.094</v>
      </c>
      <c r="F39" s="21" t="n">
        <v>0.442</v>
      </c>
      <c r="G39" t="n">
        <v>-0.53</v>
      </c>
      <c r="H39" t="s">
        <v>1110</v>
      </c>
    </row>
    <row r="40">
      <c r="A40" t="s">
        <v>1111</v>
      </c>
      <c r="B40" t="s">
        <v>1136</v>
      </c>
      <c r="C40" t="s">
        <v>1170</v>
      </c>
      <c r="D40" t="s">
        <v>1206</v>
      </c>
      <c r="E40" s="21" t="n">
        <v>0.109</v>
      </c>
      <c r="F40" s="21" t="n">
        <v>0.443</v>
      </c>
      <c r="G40" t="n">
        <v>-0.51</v>
      </c>
      <c r="H40" t="s">
        <v>1110</v>
      </c>
    </row>
    <row r="41">
      <c r="A41" t="s">
        <v>1138</v>
      </c>
      <c r="B41" t="s">
        <v>1139</v>
      </c>
      <c r="C41" t="s">
        <v>1166</v>
      </c>
      <c r="D41" t="s">
        <v>1207</v>
      </c>
      <c r="E41" s="21" t="n">
        <v>0.141</v>
      </c>
      <c r="F41" s="21" t="n">
        <v>0.262</v>
      </c>
      <c r="G41" t="n">
        <v>-0.58</v>
      </c>
      <c r="H41" t="s">
        <v>1110</v>
      </c>
    </row>
    <row r="42">
      <c r="A42" t="s">
        <v>1138</v>
      </c>
      <c r="B42" t="s">
        <v>1139</v>
      </c>
      <c r="C42" t="s">
        <v>1168</v>
      </c>
      <c r="D42" t="s">
        <v>1208</v>
      </c>
      <c r="E42" s="21" t="n">
        <v>0.16</v>
      </c>
      <c r="F42" s="21" t="n">
        <v>0.415</v>
      </c>
      <c r="G42" t="n">
        <v>-0.46</v>
      </c>
      <c r="H42" t="s">
        <v>1119</v>
      </c>
    </row>
    <row r="43">
      <c r="A43" t="s">
        <v>1138</v>
      </c>
      <c r="B43" t="s">
        <v>1139</v>
      </c>
      <c r="C43" t="s">
        <v>1170</v>
      </c>
      <c r="D43" t="s">
        <v>1209</v>
      </c>
      <c r="E43" s="21" t="n">
        <v>0.207</v>
      </c>
      <c r="F43" s="21" t="n">
        <v>0.467</v>
      </c>
      <c r="G43" t="n">
        <v>-0.43</v>
      </c>
      <c r="H43" t="s">
        <v>1119</v>
      </c>
    </row>
    <row r="44">
      <c r="A44" t="s">
        <v>1138</v>
      </c>
      <c r="B44" t="s">
        <v>1141</v>
      </c>
      <c r="C44" t="s">
        <v>1166</v>
      </c>
      <c r="D44" t="s">
        <v>1210</v>
      </c>
      <c r="E44" s="21" t="n">
        <v>0.092</v>
      </c>
      <c r="F44" s="21" t="n">
        <v>0.199</v>
      </c>
      <c r="G44" t="n">
        <v>-0.66</v>
      </c>
      <c r="H44" t="s">
        <v>1110</v>
      </c>
    </row>
    <row r="45">
      <c r="A45" t="s">
        <v>1138</v>
      </c>
      <c r="B45" t="s">
        <v>1141</v>
      </c>
      <c r="C45" t="s">
        <v>1168</v>
      </c>
      <c r="D45" t="s">
        <v>1211</v>
      </c>
      <c r="E45" s="21" t="n">
        <v>0.076</v>
      </c>
      <c r="F45" s="21" t="n">
        <v>0.331</v>
      </c>
      <c r="G45" t="n">
        <v>-0.53</v>
      </c>
      <c r="H45" t="s">
        <v>1110</v>
      </c>
    </row>
    <row r="46">
      <c r="A46" t="s">
        <v>1138</v>
      </c>
      <c r="B46" t="s">
        <v>1141</v>
      </c>
      <c r="C46" t="s">
        <v>1170</v>
      </c>
      <c r="D46" t="s">
        <v>1212</v>
      </c>
      <c r="E46" s="21" t="n">
        <v>0.147</v>
      </c>
      <c r="F46" s="21" t="n">
        <v>0.467</v>
      </c>
      <c r="G46" t="n">
        <v>-0.49</v>
      </c>
      <c r="H46" t="s">
        <v>1119</v>
      </c>
    </row>
    <row r="47">
      <c r="A47" t="s">
        <v>1138</v>
      </c>
      <c r="B47" t="s">
        <v>1143</v>
      </c>
      <c r="C47" t="s">
        <v>1166</v>
      </c>
      <c r="D47" t="s">
        <v>1213</v>
      </c>
      <c r="E47" s="21" t="n">
        <v>0.078</v>
      </c>
      <c r="F47" s="21" t="n">
        <v>0.199</v>
      </c>
      <c r="G47" t="n">
        <v>-0.69</v>
      </c>
      <c r="H47" t="s">
        <v>1110</v>
      </c>
    </row>
    <row r="48">
      <c r="A48" t="s">
        <v>1138</v>
      </c>
      <c r="B48" t="s">
        <v>1143</v>
      </c>
      <c r="C48" t="s">
        <v>1168</v>
      </c>
      <c r="D48" t="s">
        <v>1214</v>
      </c>
      <c r="E48" s="21" t="n">
        <v>0.11</v>
      </c>
      <c r="F48" s="21" t="n">
        <v>0.358</v>
      </c>
      <c r="G48" t="n">
        <v>-0.5</v>
      </c>
      <c r="H48" t="s">
        <v>1119</v>
      </c>
    </row>
    <row r="49">
      <c r="A49" t="s">
        <v>1138</v>
      </c>
      <c r="B49" t="s">
        <v>1143</v>
      </c>
      <c r="C49" t="s">
        <v>1170</v>
      </c>
      <c r="D49" t="s">
        <v>1215</v>
      </c>
      <c r="E49" s="21" t="n">
        <v>0.175</v>
      </c>
      <c r="F49" s="21" t="n">
        <v>0.467</v>
      </c>
      <c r="G49" t="n">
        <v>-0.46</v>
      </c>
      <c r="H49" t="s">
        <v>1119</v>
      </c>
    </row>
    <row r="50">
      <c r="A50" t="s">
        <v>1138</v>
      </c>
      <c r="B50" t="s">
        <v>1145</v>
      </c>
      <c r="C50" t="s">
        <v>1166</v>
      </c>
      <c r="D50" t="s">
        <v>1216</v>
      </c>
      <c r="E50" s="21" t="n">
        <v>0.594</v>
      </c>
      <c r="F50" s="21" t="n">
        <v>0.643</v>
      </c>
      <c r="G50" t="n">
        <v>0.21</v>
      </c>
      <c r="H50" t="s">
        <v>1119</v>
      </c>
    </row>
    <row r="51">
      <c r="A51" t="s">
        <v>1138</v>
      </c>
      <c r="B51" t="s">
        <v>1145</v>
      </c>
      <c r="C51" t="s">
        <v>1168</v>
      </c>
      <c r="D51" t="s">
        <v>1217</v>
      </c>
      <c r="E51" s="21" t="n">
        <v>0.802</v>
      </c>
      <c r="F51" s="21" t="n">
        <v>0.802</v>
      </c>
      <c r="G51" t="n">
        <v>-0.09</v>
      </c>
      <c r="H51" t="s">
        <v>1114</v>
      </c>
    </row>
    <row r="52">
      <c r="A52" t="s">
        <v>1138</v>
      </c>
      <c r="B52" t="s">
        <v>1145</v>
      </c>
      <c r="C52" t="s">
        <v>1170</v>
      </c>
      <c r="D52" t="s">
        <v>1217</v>
      </c>
      <c r="E52" s="21" t="n">
        <v>0.823</v>
      </c>
      <c r="F52" s="21" t="n">
        <v>0.824</v>
      </c>
      <c r="G52" t="n">
        <v>-0.08</v>
      </c>
      <c r="H52" t="s">
        <v>1114</v>
      </c>
    </row>
    <row r="53">
      <c r="A53" t="s">
        <v>1138</v>
      </c>
      <c r="B53" t="s">
        <v>1147</v>
      </c>
      <c r="C53" t="s">
        <v>1166</v>
      </c>
      <c r="D53" t="s">
        <v>1218</v>
      </c>
      <c r="E53" s="21" t="n">
        <v>0.551</v>
      </c>
      <c r="F53" s="21" t="n">
        <v>0.643</v>
      </c>
      <c r="G53" t="n">
        <v>-0.23</v>
      </c>
      <c r="H53" t="s">
        <v>1119</v>
      </c>
    </row>
    <row r="54">
      <c r="A54" t="s">
        <v>1138</v>
      </c>
      <c r="B54" t="s">
        <v>1147</v>
      </c>
      <c r="C54" t="s">
        <v>1168</v>
      </c>
      <c r="D54" t="s">
        <v>1219</v>
      </c>
      <c r="E54" s="21" t="n">
        <v>0.284</v>
      </c>
      <c r="F54" s="21" t="n">
        <v>0.461</v>
      </c>
      <c r="G54" t="n">
        <v>-0.37</v>
      </c>
      <c r="H54" t="s">
        <v>1119</v>
      </c>
    </row>
    <row r="55">
      <c r="A55" t="s">
        <v>1138</v>
      </c>
      <c r="B55" t="s">
        <v>1147</v>
      </c>
      <c r="C55" t="s">
        <v>1170</v>
      </c>
      <c r="D55" t="s">
        <v>1220</v>
      </c>
      <c r="E55" s="21" t="n">
        <v>0.29</v>
      </c>
      <c r="F55" s="21" t="n">
        <v>0.472</v>
      </c>
      <c r="G55" t="n">
        <v>-0.36</v>
      </c>
      <c r="H55" t="s">
        <v>1119</v>
      </c>
    </row>
    <row r="56">
      <c r="A56" t="s">
        <v>1138</v>
      </c>
      <c r="B56" t="s">
        <v>1149</v>
      </c>
      <c r="C56" t="s">
        <v>1166</v>
      </c>
      <c r="D56" t="s">
        <v>1221</v>
      </c>
      <c r="E56" s="21" t="n">
        <v>0.919</v>
      </c>
      <c r="F56" s="21" t="n">
        <v>0.919</v>
      </c>
      <c r="G56" t="n">
        <v>0.04</v>
      </c>
      <c r="H56" t="s">
        <v>1114</v>
      </c>
    </row>
    <row r="57">
      <c r="A57" t="s">
        <v>1138</v>
      </c>
      <c r="B57" t="s">
        <v>1149</v>
      </c>
      <c r="C57" t="s">
        <v>1168</v>
      </c>
      <c r="D57" t="s">
        <v>1222</v>
      </c>
      <c r="E57" s="21" t="n">
        <v>0.561</v>
      </c>
      <c r="F57" s="21" t="n">
        <v>0.73</v>
      </c>
      <c r="G57" t="n">
        <v>-0.2</v>
      </c>
      <c r="H57" t="s">
        <v>1119</v>
      </c>
    </row>
    <row r="58">
      <c r="A58" t="s">
        <v>1138</v>
      </c>
      <c r="B58" t="s">
        <v>1149</v>
      </c>
      <c r="C58" t="s">
        <v>1170</v>
      </c>
      <c r="D58" t="s">
        <v>1222</v>
      </c>
      <c r="E58" s="21" t="n">
        <v>0.578</v>
      </c>
      <c r="F58" s="21" t="n">
        <v>0.752</v>
      </c>
      <c r="G58" t="n">
        <v>-0.19</v>
      </c>
      <c r="H58" t="s">
        <v>1114</v>
      </c>
    </row>
    <row r="59">
      <c r="A59" t="s">
        <v>1138</v>
      </c>
      <c r="B59" t="s">
        <v>1151</v>
      </c>
      <c r="C59" t="s">
        <v>1166</v>
      </c>
      <c r="D59" t="s">
        <v>1223</v>
      </c>
      <c r="E59" s="21" t="n">
        <v>0.015</v>
      </c>
      <c r="F59" s="21" t="n">
        <v>0.111</v>
      </c>
      <c r="G59" t="n">
        <v>-0.84</v>
      </c>
      <c r="H59" t="s">
        <v>1224</v>
      </c>
    </row>
    <row r="60">
      <c r="A60" t="s">
        <v>1138</v>
      </c>
      <c r="B60" t="s">
        <v>1151</v>
      </c>
      <c r="C60" t="s">
        <v>1168</v>
      </c>
      <c r="D60" t="s">
        <v>1225</v>
      </c>
      <c r="E60" s="21" t="n">
        <v>0.03</v>
      </c>
      <c r="F60" s="21" t="n">
        <v>0.196</v>
      </c>
      <c r="G60" t="n">
        <v>-0.67</v>
      </c>
      <c r="H60" t="s">
        <v>1110</v>
      </c>
    </row>
    <row r="61">
      <c r="A61" t="s">
        <v>1138</v>
      </c>
      <c r="B61" t="s">
        <v>1151</v>
      </c>
      <c r="C61" t="s">
        <v>1170</v>
      </c>
      <c r="D61" t="s">
        <v>1226</v>
      </c>
      <c r="E61" s="21" t="n">
        <v>0.02</v>
      </c>
      <c r="F61" s="21" t="n">
        <v>0.132</v>
      </c>
      <c r="G61" t="n">
        <v>-0.74</v>
      </c>
      <c r="H61" t="s">
        <v>1110</v>
      </c>
    </row>
    <row r="62">
      <c r="A62" t="s">
        <v>1138</v>
      </c>
      <c r="B62" t="s">
        <v>1153</v>
      </c>
      <c r="C62" t="s">
        <v>1166</v>
      </c>
      <c r="D62" t="s">
        <v>1227</v>
      </c>
      <c r="E62" s="21" t="n">
        <v>0.084</v>
      </c>
      <c r="F62" s="21" t="n">
        <v>0.199</v>
      </c>
      <c r="G62" t="n">
        <v>-0.67</v>
      </c>
      <c r="H62" t="s">
        <v>1110</v>
      </c>
    </row>
    <row r="63">
      <c r="A63" t="s">
        <v>1138</v>
      </c>
      <c r="B63" t="s">
        <v>1153</v>
      </c>
      <c r="C63" t="s">
        <v>1168</v>
      </c>
      <c r="D63" t="s">
        <v>1228</v>
      </c>
      <c r="E63" s="21" t="n">
        <v>0.248</v>
      </c>
      <c r="F63" s="21" t="n">
        <v>0.46</v>
      </c>
      <c r="G63" t="n">
        <v>-0.4</v>
      </c>
      <c r="H63" t="s">
        <v>1119</v>
      </c>
    </row>
    <row r="64">
      <c r="A64" t="s">
        <v>1138</v>
      </c>
      <c r="B64" t="s">
        <v>1153</v>
      </c>
      <c r="C64" t="s">
        <v>1170</v>
      </c>
      <c r="D64" t="s">
        <v>1229</v>
      </c>
      <c r="E64" s="21" t="n">
        <v>0.252</v>
      </c>
      <c r="F64" s="21" t="n">
        <v>0.467</v>
      </c>
      <c r="G64" t="n">
        <v>-0.39</v>
      </c>
      <c r="H64" t="s">
        <v>1119</v>
      </c>
    </row>
    <row r="65">
      <c r="A65" t="s">
        <v>1138</v>
      </c>
      <c r="B65" t="s">
        <v>1155</v>
      </c>
      <c r="C65" t="s">
        <v>1166</v>
      </c>
      <c r="D65" t="s">
        <v>1230</v>
      </c>
      <c r="E65" s="21" t="n">
        <v>0.235</v>
      </c>
      <c r="F65" s="21" t="n">
        <v>0.382</v>
      </c>
      <c r="G65" t="n">
        <v>-0.47</v>
      </c>
      <c r="H65" t="s">
        <v>1119</v>
      </c>
    </row>
    <row r="66">
      <c r="A66" t="s">
        <v>1138</v>
      </c>
      <c r="B66" t="s">
        <v>1155</v>
      </c>
      <c r="C66" t="s">
        <v>1168</v>
      </c>
      <c r="D66" t="s">
        <v>1231</v>
      </c>
      <c r="E66" s="21" t="n">
        <v>0.349</v>
      </c>
      <c r="F66" s="21" t="n">
        <v>0.504</v>
      </c>
      <c r="G66" t="n">
        <v>-0.33</v>
      </c>
      <c r="H66" t="s">
        <v>1119</v>
      </c>
    </row>
    <row r="67">
      <c r="A67" t="s">
        <v>1138</v>
      </c>
      <c r="B67" t="s">
        <v>1155</v>
      </c>
      <c r="C67" t="s">
        <v>1170</v>
      </c>
      <c r="D67" t="s">
        <v>1232</v>
      </c>
      <c r="E67" s="21" t="n">
        <v>0.359</v>
      </c>
      <c r="F67" s="21" t="n">
        <v>0.519</v>
      </c>
      <c r="G67" t="n">
        <v>-0.32</v>
      </c>
      <c r="H67" t="s">
        <v>1119</v>
      </c>
    </row>
    <row r="68">
      <c r="A68" t="s">
        <v>1138</v>
      </c>
      <c r="B68" t="s">
        <v>1157</v>
      </c>
      <c r="C68" t="s">
        <v>1166</v>
      </c>
      <c r="D68" t="s">
        <v>1233</v>
      </c>
      <c r="E68" s="21" t="n">
        <v>0.069</v>
      </c>
      <c r="F68" s="21" t="n">
        <v>0.199</v>
      </c>
      <c r="G68" t="n">
        <v>-0.7</v>
      </c>
      <c r="H68" t="s">
        <v>1110</v>
      </c>
    </row>
    <row r="69">
      <c r="A69" t="s">
        <v>1138</v>
      </c>
      <c r="B69" t="s">
        <v>1157</v>
      </c>
      <c r="C69" t="s">
        <v>1168</v>
      </c>
      <c r="D69" t="s">
        <v>1234</v>
      </c>
      <c r="E69" s="21" t="n">
        <v>0.215</v>
      </c>
      <c r="F69" s="21" t="n">
        <v>0.46</v>
      </c>
      <c r="G69" t="n">
        <v>-0.43</v>
      </c>
      <c r="H69" t="s">
        <v>1119</v>
      </c>
    </row>
    <row r="70">
      <c r="A70" t="s">
        <v>1138</v>
      </c>
      <c r="B70" t="s">
        <v>1157</v>
      </c>
      <c r="C70" t="s">
        <v>1170</v>
      </c>
      <c r="D70" t="s">
        <v>1235</v>
      </c>
      <c r="E70" s="21" t="n">
        <v>0.224</v>
      </c>
      <c r="F70" s="21" t="n">
        <v>0.467</v>
      </c>
      <c r="G70" t="n">
        <v>-0.42</v>
      </c>
      <c r="H70" t="s">
        <v>1119</v>
      </c>
    </row>
    <row r="71">
      <c r="A71" t="s">
        <v>1138</v>
      </c>
      <c r="B71" t="s">
        <v>1159</v>
      </c>
      <c r="C71" t="s">
        <v>1166</v>
      </c>
      <c r="D71" t="s">
        <v>1236</v>
      </c>
      <c r="E71" s="21" t="n">
        <v>0.017</v>
      </c>
      <c r="F71" s="21" t="n">
        <v>0.111</v>
      </c>
      <c r="G71" t="n">
        <v>-0.82</v>
      </c>
      <c r="H71" t="s">
        <v>1224</v>
      </c>
    </row>
    <row r="72">
      <c r="A72" t="s">
        <v>1138</v>
      </c>
      <c r="B72" t="s">
        <v>1159</v>
      </c>
      <c r="C72" t="s">
        <v>1168</v>
      </c>
      <c r="D72" t="s">
        <v>1237</v>
      </c>
      <c r="E72" s="21" t="n">
        <v>0.011</v>
      </c>
      <c r="F72" s="21" t="n">
        <v>0.148</v>
      </c>
      <c r="G72" t="n">
        <v>-0.8</v>
      </c>
      <c r="H72" t="s">
        <v>1224</v>
      </c>
    </row>
    <row r="73">
      <c r="A73" t="s">
        <v>1138</v>
      </c>
      <c r="B73" t="s">
        <v>1159</v>
      </c>
      <c r="C73" t="s">
        <v>1170</v>
      </c>
      <c r="D73" t="s">
        <v>1238</v>
      </c>
      <c r="E73" s="21" t="n">
        <v>0.008</v>
      </c>
      <c r="F73" s="21" t="n">
        <v>0.1</v>
      </c>
      <c r="G73" t="n">
        <v>-0.85</v>
      </c>
      <c r="H73" t="s">
        <v>1224</v>
      </c>
    </row>
    <row r="74">
      <c r="A74" t="s">
        <v>1138</v>
      </c>
      <c r="B74" t="s">
        <v>1161</v>
      </c>
      <c r="C74" t="s">
        <v>1166</v>
      </c>
      <c r="D74" t="s">
        <v>1239</v>
      </c>
      <c r="E74" s="21" t="n">
        <v>0.369</v>
      </c>
      <c r="F74" s="21" t="n">
        <v>0.479</v>
      </c>
      <c r="G74" t="n">
        <v>-0.35</v>
      </c>
      <c r="H74" t="s">
        <v>1119</v>
      </c>
    </row>
    <row r="75">
      <c r="A75" t="s">
        <v>1138</v>
      </c>
      <c r="B75" t="s">
        <v>1161</v>
      </c>
      <c r="C75" t="s">
        <v>1168</v>
      </c>
      <c r="D75" t="s">
        <v>1240</v>
      </c>
      <c r="E75" s="21" t="n">
        <v>0.789</v>
      </c>
      <c r="F75" s="21" t="n">
        <v>0.802</v>
      </c>
      <c r="G75" t="n">
        <v>-0.09</v>
      </c>
      <c r="H75" t="s">
        <v>1114</v>
      </c>
    </row>
    <row r="76">
      <c r="A76" t="s">
        <v>1138</v>
      </c>
      <c r="B76" t="s">
        <v>1161</v>
      </c>
      <c r="C76" t="s">
        <v>1170</v>
      </c>
      <c r="D76" t="s">
        <v>1241</v>
      </c>
      <c r="E76" s="21" t="n">
        <v>0.824</v>
      </c>
      <c r="F76" s="21" t="n">
        <v>0.824</v>
      </c>
      <c r="G76" t="n">
        <v>-0.08</v>
      </c>
      <c r="H76" t="s">
        <v>1114</v>
      </c>
    </row>
    <row r="77">
      <c r="A77" t="s">
        <v>1138</v>
      </c>
      <c r="B77" t="s">
        <v>1163</v>
      </c>
      <c r="C77" t="s">
        <v>1166</v>
      </c>
      <c r="D77" t="s">
        <v>1242</v>
      </c>
      <c r="E77" s="21" t="n">
        <v>0.369</v>
      </c>
      <c r="F77" s="21" t="n">
        <v>0.479</v>
      </c>
      <c r="G77" t="n">
        <v>0.35</v>
      </c>
      <c r="H77" t="s">
        <v>1119</v>
      </c>
    </row>
    <row r="78">
      <c r="A78" t="s">
        <v>1138</v>
      </c>
      <c r="B78" t="s">
        <v>1163</v>
      </c>
      <c r="C78" t="s">
        <v>1168</v>
      </c>
      <c r="D78" t="s">
        <v>1243</v>
      </c>
      <c r="E78" s="21" t="n">
        <v>0.789</v>
      </c>
      <c r="F78" s="21" t="n">
        <v>0.802</v>
      </c>
      <c r="G78" t="n">
        <v>0.09</v>
      </c>
      <c r="H78" t="s">
        <v>1114</v>
      </c>
    </row>
    <row r="79">
      <c r="A79" t="s">
        <v>1138</v>
      </c>
      <c r="B79" t="s">
        <v>1163</v>
      </c>
      <c r="C79" t="s">
        <v>1170</v>
      </c>
      <c r="D79" t="s">
        <v>1244</v>
      </c>
      <c r="E79" s="21" t="n">
        <v>0.824</v>
      </c>
      <c r="F79" s="21" t="n">
        <v>0.824</v>
      </c>
      <c r="G79" t="n">
        <v>0.08</v>
      </c>
      <c r="H79" t="s">
        <v>1114</v>
      </c>
    </row>
  </sheetData>
  <autoFilter ref="A1:H79" xr:uid="{00000000-0001-0000-0600-000000000000}"/>
  <conditionalFormatting sqref="E2:F79">
    <cfRule type="cellIs" dxfId="12" priority="3" operator="lessThan">
      <formula>0.05</formula>
    </cfRule>
  </conditionalFormatting>
  <conditionalFormatting sqref="G2:G79">
    <cfRule type="cellIs" dxfId="11" priority="1" operator="greaterThan">
      <formula>0.5</formula>
    </cfRule>
    <cfRule type="cellIs" dxfId="10" priority="2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45" zoomScaleNormal="145" workbookViewId="0">
      <selection activeCell="D23" sqref="D23"/>
    </sheetView>
  </sheetViews>
  <sheetFormatPr defaultRowHeight="15.0" baseColWidth="10"/>
  <cols>
    <col min="2" max="2" width="16.7109375" hidden="0" customWidth="1"/>
    <col min="3" max="3" width="16.7109375" hidden="0" customWidth="1"/>
    <col min="5" max="5" width="14.28515625" hidden="0" customWidth="1"/>
  </cols>
  <sheetData>
    <row r="1">
      <c r="A1" t="s">
        <v>675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682</v>
      </c>
    </row>
    <row r="2">
      <c r="A2" t="s">
        <v>683</v>
      </c>
      <c r="B2" t="s">
        <v>684</v>
      </c>
      <c r="C2" t="s">
        <v>684</v>
      </c>
      <c r="D2" s="21" t="n">
        <v>0.97799999999999998</v>
      </c>
      <c r="E2" t="s">
        <v>685</v>
      </c>
      <c r="F2" t="n">
        <v>0.44400000000000001</v>
      </c>
      <c r="G2" t="n">
        <v>0.83099999999999996</v>
      </c>
      <c r="H2" t="s">
        <v>686</v>
      </c>
    </row>
    <row r="3">
      <c r="A3" t="s">
        <v>687</v>
      </c>
      <c r="B3" t="s">
        <v>688</v>
      </c>
      <c r="C3" t="s">
        <v>689</v>
      </c>
      <c r="D3" s="21" t="n">
        <v>0.30299999999999999</v>
      </c>
      <c r="E3" t="s">
        <v>685</v>
      </c>
      <c r="F3" t="n">
        <v>0.57099999999999995</v>
      </c>
      <c r="G3" t="n">
        <v>0.84</v>
      </c>
      <c r="H3" t="s">
        <v>686</v>
      </c>
    </row>
    <row r="4">
      <c r="A4" t="s">
        <v>690</v>
      </c>
      <c r="B4" t="s">
        <v>691</v>
      </c>
      <c r="C4" t="s">
        <v>692</v>
      </c>
      <c r="D4" s="21" t="n">
        <v>0.89900000000000002</v>
      </c>
      <c r="E4" t="s">
        <v>685</v>
      </c>
      <c r="F4" t="n">
        <v>0.746</v>
      </c>
      <c r="G4" t="n">
        <v>0.82799999999999996</v>
      </c>
      <c r="H4" t="s">
        <v>686</v>
      </c>
    </row>
    <row r="5">
      <c r="A5" t="s">
        <v>693</v>
      </c>
      <c r="B5" t="s">
        <v>694</v>
      </c>
      <c r="C5" t="s">
        <v>695</v>
      </c>
      <c r="D5" s="21" t="n">
        <v>0.4</v>
      </c>
      <c r="E5" t="s">
        <v>685</v>
      </c>
      <c r="F5" t="n">
        <v>0.499</v>
      </c>
      <c r="G5" t="n">
        <v>0.40799999999999997</v>
      </c>
      <c r="H5" t="s">
        <v>686</v>
      </c>
    </row>
    <row r="6">
      <c r="A6" t="s">
        <v>696</v>
      </c>
      <c r="B6" t="s">
        <v>697</v>
      </c>
      <c r="C6" t="s">
        <v>698</v>
      </c>
      <c r="D6" s="21" t="n">
        <v>0.86799999999999999</v>
      </c>
      <c r="E6" t="s">
        <v>699</v>
      </c>
      <c r="F6" t="n">
        <v>1.4E-2</v>
      </c>
      <c r="G6" t="n">
        <v>0.432</v>
      </c>
      <c r="H6" t="s">
        <v>686</v>
      </c>
    </row>
    <row r="7">
      <c r="A7" t="s">
        <v>700</v>
      </c>
      <c r="B7" t="s">
        <v>701</v>
      </c>
      <c r="C7" t="s">
        <v>702</v>
      </c>
      <c r="D7" s="21" t="n">
        <v>0.41099999999999998</v>
      </c>
      <c r="E7" t="s">
        <v>699</v>
      </c>
      <c r="F7" t="n">
        <v>0.40400000000000003</v>
      </c>
      <c r="G7" t="n">
        <v>4.8000000000000001E-2</v>
      </c>
      <c r="H7" t="s">
        <v>686</v>
      </c>
    </row>
    <row r="8">
      <c r="A8" t="s">
        <v>703</v>
      </c>
      <c r="B8" t="s">
        <v>704</v>
      </c>
      <c r="C8" t="s">
        <v>704</v>
      </c>
      <c r="D8" s="21" t="n">
        <v>0.94799999999999995</v>
      </c>
      <c r="E8" t="s">
        <v>685</v>
      </c>
      <c r="F8" t="n">
        <v>0.71499999999999997</v>
      </c>
      <c r="G8" t="n">
        <v>0.86299999999999999</v>
      </c>
      <c r="H8" t="s">
        <v>686</v>
      </c>
    </row>
    <row r="9">
      <c r="A9" t="s">
        <v>705</v>
      </c>
      <c r="B9" t="s">
        <v>706</v>
      </c>
      <c r="C9" t="s">
        <v>707</v>
      </c>
      <c r="D9" s="21" t="n">
        <v>0.60799999999999998</v>
      </c>
      <c r="E9" t="s">
        <v>685</v>
      </c>
      <c r="F9" t="n">
        <v>6.8000000000000005E-2</v>
      </c>
      <c r="G9" t="n">
        <v>0.41699999999999998</v>
      </c>
      <c r="H9" t="s">
        <v>686</v>
      </c>
      <c r="K9" t="s">
        <v>972</v>
      </c>
      <c r="L9" t="s">
        <v>973</v>
      </c>
    </row>
    <row r="10">
      <c r="A10" t="s">
        <v>708</v>
      </c>
      <c r="B10" t="s">
        <v>709</v>
      </c>
      <c r="C10" t="s">
        <v>710</v>
      </c>
      <c r="D10" s="21" t="n">
        <v>5.2999999999999999E-2</v>
      </c>
      <c r="E10" t="s">
        <v>685</v>
      </c>
      <c r="F10" t="n">
        <v>0.748</v>
      </c>
      <c r="G10" t="n">
        <v>0.161</v>
      </c>
      <c r="H10" t="s">
        <v>686</v>
      </c>
      <c r="K10" t="s">
        <v>974</v>
      </c>
      <c r="L10" t="s">
        <v>975</v>
      </c>
    </row>
    <row r="11">
      <c r="A11" t="s">
        <v>711</v>
      </c>
      <c r="B11" t="s">
        <v>712</v>
      </c>
      <c r="C11" t="s">
        <v>713</v>
      </c>
      <c r="D11" s="21" t="n">
        <v>0.11700000000000001</v>
      </c>
      <c r="E11" t="s">
        <v>699</v>
      </c>
      <c r="F11" t="n">
        <v>2.3E-2</v>
      </c>
      <c r="G11" t="n">
        <v>0.48699999999999999</v>
      </c>
      <c r="H11" t="s">
        <v>686</v>
      </c>
    </row>
    <row r="12">
      <c r="A12" t="s">
        <v>714</v>
      </c>
      <c r="B12" t="s">
        <v>715</v>
      </c>
      <c r="C12" t="s">
        <v>716</v>
      </c>
      <c r="D12" s="21" t="n">
        <v>0.65400000000000003</v>
      </c>
      <c r="E12" t="s">
        <v>685</v>
      </c>
      <c r="F12" t="n">
        <v>1</v>
      </c>
      <c r="G12" t="n">
        <v>5.5E-2</v>
      </c>
      <c r="H12" t="s">
        <v>686</v>
      </c>
    </row>
    <row r="13">
      <c r="A13" t="s">
        <v>717</v>
      </c>
      <c r="B13" t="s">
        <v>718</v>
      </c>
      <c r="C13" t="s">
        <v>719</v>
      </c>
      <c r="D13" s="21" t="n">
        <v>0.16600000000000001</v>
      </c>
      <c r="E13" t="s">
        <v>685</v>
      </c>
      <c r="F13" t="n">
        <v>0.35699999999999998</v>
      </c>
      <c r="G13" t="n">
        <v>0.24399999999999999</v>
      </c>
      <c r="H13" t="s">
        <v>686</v>
      </c>
    </row>
    <row r="14">
      <c r="A14" t="s">
        <v>720</v>
      </c>
      <c r="B14" t="s">
        <v>721</v>
      </c>
      <c r="C14" t="s">
        <v>722</v>
      </c>
      <c r="D14" s="21" t="n">
        <v>0.24199999999999999</v>
      </c>
      <c r="E14" t="s">
        <v>685</v>
      </c>
      <c r="F14" t="n">
        <v>0.53900000000000003</v>
      </c>
      <c r="G14" t="n">
        <v>0.51200000000000001</v>
      </c>
      <c r="H14" t="s">
        <v>686</v>
      </c>
    </row>
    <row r="15">
      <c r="A15" t="s">
        <v>723</v>
      </c>
      <c r="B15" t="s">
        <v>724</v>
      </c>
      <c r="C15" t="s">
        <v>725</v>
      </c>
      <c r="D15" s="21" t="n">
        <v>0.11700000000000001</v>
      </c>
      <c r="E15" t="s">
        <v>685</v>
      </c>
      <c r="F15" t="n">
        <v>0.21099999999999999</v>
      </c>
      <c r="G15" t="n">
        <v>0.21299999999999999</v>
      </c>
      <c r="H15" t="s">
        <v>686</v>
      </c>
    </row>
    <row r="16">
      <c r="A16" t="s">
        <v>726</v>
      </c>
      <c r="B16" t="s">
        <v>727</v>
      </c>
      <c r="C16" t="s">
        <v>728</v>
      </c>
      <c r="D16" s="21" t="n">
        <v>0.14799999999999999</v>
      </c>
      <c r="E16" t="s">
        <v>685</v>
      </c>
      <c r="F16" t="n">
        <v>0.84499999999999997</v>
      </c>
      <c r="G16" t="n">
        <v>0.13</v>
      </c>
      <c r="H16" t="s">
        <v>686</v>
      </c>
    </row>
    <row r="17">
      <c r="A17" t="s">
        <v>729</v>
      </c>
      <c r="B17" t="s">
        <v>730</v>
      </c>
      <c r="C17" t="s">
        <v>731</v>
      </c>
      <c r="D17" s="21" t="n">
        <v>0.54</v>
      </c>
      <c r="E17" t="s">
        <v>685</v>
      </c>
      <c r="F17" t="n">
        <v>0.45100000000000001</v>
      </c>
      <c r="G17" t="n">
        <v>0.06</v>
      </c>
      <c r="H17" t="s">
        <v>686</v>
      </c>
    </row>
    <row r="18">
      <c r="A18" t="s">
        <v>732</v>
      </c>
      <c r="B18" t="s">
        <v>733</v>
      </c>
      <c r="C18" t="s">
        <v>734</v>
      </c>
      <c r="D18" s="21" t="n">
        <v>0.54</v>
      </c>
      <c r="E18" t="s">
        <v>685</v>
      </c>
      <c r="F18" t="n">
        <v>0.45100000000000001</v>
      </c>
      <c r="G18" t="n">
        <v>0.06</v>
      </c>
      <c r="H18" t="s">
        <v>686</v>
      </c>
    </row>
    <row r="19">
      <c r="A19" t="s">
        <v>735</v>
      </c>
      <c r="B19" t="s">
        <v>736</v>
      </c>
      <c r="C19" t="s">
        <v>737</v>
      </c>
      <c r="D19" s="21" t="n">
        <v>0.58399999999999996</v>
      </c>
      <c r="E19" t="s">
        <v>699</v>
      </c>
      <c r="F19" t="n">
        <v>5.0000000000000001E-3</v>
      </c>
      <c r="G19" t="n">
        <v>0.48199999999999998</v>
      </c>
      <c r="H19" t="s">
        <v>686</v>
      </c>
    </row>
    <row r="20">
      <c r="A20" t="s">
        <v>738</v>
      </c>
      <c r="B20" t="s">
        <v>739</v>
      </c>
      <c r="C20" t="s">
        <v>740</v>
      </c>
      <c r="D20" s="21" t="n">
        <v>0.46899999999999997</v>
      </c>
      <c r="E20" t="s">
        <v>699</v>
      </c>
      <c r="F20" t="n">
        <v>0.05</v>
      </c>
      <c r="G20" t="n">
        <v>0.16400000000000001</v>
      </c>
      <c r="H20" t="s">
        <v>686</v>
      </c>
    </row>
    <row r="21" ht="19.149999999999999" customHeight="1">
      <c r="A21" t="s">
        <v>741</v>
      </c>
      <c r="B21" t="s">
        <v>742</v>
      </c>
      <c r="C21" t="s">
        <v>743</v>
      </c>
      <c r="D21" s="21" t="n">
        <v>1</v>
      </c>
      <c r="E21" t="s">
        <v>699</v>
      </c>
      <c r="F21" t="n">
        <v>5.0000000000000001E-3</v>
      </c>
      <c r="G21" t="n">
        <v>0.48299999999999998</v>
      </c>
      <c r="H21" t="s">
        <v>686</v>
      </c>
    </row>
    <row r="22">
      <c r="A22" t="s">
        <v>744</v>
      </c>
      <c r="B22" t="s">
        <v>745</v>
      </c>
      <c r="C22" t="s">
        <v>746</v>
      </c>
      <c r="D22" s="21" t="n">
        <v>0.105</v>
      </c>
      <c r="E22" t="s">
        <v>685</v>
      </c>
      <c r="F22" t="n">
        <v>0.64300000000000002</v>
      </c>
      <c r="G22" t="n">
        <v>0.97699999999999998</v>
      </c>
      <c r="H22" t="s">
        <v>686</v>
      </c>
    </row>
    <row r="23">
      <c r="A23" t="s">
        <v>747</v>
      </c>
      <c r="B23" t="s">
        <v>748</v>
      </c>
      <c r="C23" t="s">
        <v>746</v>
      </c>
      <c r="D23" s="21" t="n">
        <v>3.7999999999999999E-2</v>
      </c>
      <c r="E23" t="s">
        <v>685</v>
      </c>
      <c r="F23" t="n">
        <v>9.7000000000000003E-2</v>
      </c>
      <c r="G23" t="n">
        <v>0.46400000000000002</v>
      </c>
      <c r="H23" t="s">
        <v>686</v>
      </c>
    </row>
    <row r="24">
      <c r="A24" t="s">
        <v>749</v>
      </c>
      <c r="B24" t="s">
        <v>745</v>
      </c>
      <c r="C24" t="s">
        <v>746</v>
      </c>
      <c r="D24" s="21" t="n">
        <v>0.16700000000000001</v>
      </c>
      <c r="E24" t="s">
        <v>699</v>
      </c>
      <c r="F24" t="n">
        <v>3.3000000000000002E-2</v>
      </c>
      <c r="G24" t="n">
        <v>0.67900000000000005</v>
      </c>
      <c r="H24" t="s">
        <v>686</v>
      </c>
    </row>
    <row r="25">
      <c r="A25" t="s">
        <v>750</v>
      </c>
      <c r="B25" t="s">
        <v>746</v>
      </c>
      <c r="C25" t="s">
        <v>751</v>
      </c>
      <c r="D25" s="21" t="n">
        <v>0.40500000000000003</v>
      </c>
      <c r="E25" t="s">
        <v>685</v>
      </c>
      <c r="F25" t="n">
        <v>0.14699999999999999</v>
      </c>
      <c r="G25" t="n">
        <v>9.0999999999999998E-2</v>
      </c>
      <c r="H25" t="s">
        <v>686</v>
      </c>
    </row>
    <row r="26">
      <c r="A26" t="s">
        <v>752</v>
      </c>
      <c r="B26" t="s">
        <v>748</v>
      </c>
      <c r="C26" t="s">
        <v>751</v>
      </c>
      <c r="D26" s="21" t="n">
        <v>0.108</v>
      </c>
      <c r="E26" t="s">
        <v>685</v>
      </c>
      <c r="F26" t="n">
        <v>6.9000000000000006E-2</v>
      </c>
      <c r="G26" t="n">
        <v>0.121</v>
      </c>
      <c r="H26" t="s">
        <v>686</v>
      </c>
    </row>
    <row r="27">
      <c r="A27" t="s">
        <v>753</v>
      </c>
      <c r="B27" t="s">
        <v>754</v>
      </c>
      <c r="C27" t="s">
        <v>755</v>
      </c>
      <c r="D27" s="21" t="n">
        <v>0.878</v>
      </c>
      <c r="E27" t="s">
        <v>685</v>
      </c>
      <c r="F27" t="n">
        <v>0.311</v>
      </c>
      <c r="G27" t="n">
        <v>0.27600000000000002</v>
      </c>
      <c r="H27" t="s">
        <v>686</v>
      </c>
    </row>
    <row r="28">
      <c r="A28" t="s">
        <v>756</v>
      </c>
      <c r="B28" t="s">
        <v>757</v>
      </c>
      <c r="C28" t="s">
        <v>758</v>
      </c>
      <c r="D28" s="21" t="n">
        <v>0.39500000000000002</v>
      </c>
      <c r="E28" t="s">
        <v>699</v>
      </c>
      <c r="F28" t="n">
        <v>0.628</v>
      </c>
      <c r="G28" t="n">
        <v>1.2999999999999999E-2</v>
      </c>
      <c r="H28" t="s">
        <v>686</v>
      </c>
    </row>
    <row r="29">
      <c r="A29" t="s">
        <v>759</v>
      </c>
      <c r="B29" t="s">
        <v>760</v>
      </c>
      <c r="C29" t="s">
        <v>761</v>
      </c>
      <c r="D29" s="21" t="n">
        <v>0.375</v>
      </c>
      <c r="E29" t="s">
        <v>685</v>
      </c>
      <c r="F29" t="n">
        <v>0.80900000000000005</v>
      </c>
      <c r="G29" t="n">
        <v>0.70599999999999996</v>
      </c>
      <c r="H29" t="s">
        <v>686</v>
      </c>
    </row>
    <row r="30">
      <c r="A30" t="s">
        <v>762</v>
      </c>
      <c r="B30" t="s">
        <v>763</v>
      </c>
      <c r="C30" t="s">
        <v>764</v>
      </c>
      <c r="D30" s="21" t="n">
        <v>0.36899999999999999</v>
      </c>
      <c r="E30" t="s">
        <v>685</v>
      </c>
      <c r="F30" t="n">
        <v>0.87</v>
      </c>
      <c r="G30" t="n">
        <v>0.64800000000000002</v>
      </c>
      <c r="H30" t="s">
        <v>686</v>
      </c>
    </row>
    <row r="31">
      <c r="A31" t="s">
        <v>765</v>
      </c>
      <c r="B31" t="s">
        <v>766</v>
      </c>
      <c r="C31" t="s">
        <v>767</v>
      </c>
      <c r="D31" s="21" t="n">
        <v>0.91500000000000004</v>
      </c>
      <c r="E31" t="s">
        <v>699</v>
      </c>
      <c r="F31" t="n">
        <v>0.75600000000000001</v>
      </c>
      <c r="G31" t="n">
        <v>2.5000000000000001E-2</v>
      </c>
      <c r="H31" t="s">
        <v>686</v>
      </c>
    </row>
    <row r="32">
      <c r="A32" t="s">
        <v>768</v>
      </c>
      <c r="B32" t="s">
        <v>769</v>
      </c>
      <c r="C32" t="s">
        <v>770</v>
      </c>
      <c r="D32" s="21" t="n">
        <v>0.20200000000000001</v>
      </c>
      <c r="E32" t="s">
        <v>699</v>
      </c>
      <c r="F32" t="n">
        <v>0.69399999999999995</v>
      </c>
      <c r="G32" t="n">
        <v>2.5000000000000001E-2</v>
      </c>
      <c r="H32" t="s">
        <v>686</v>
      </c>
    </row>
    <row r="33">
      <c r="A33" t="s">
        <v>771</v>
      </c>
      <c r="B33" t="s">
        <v>772</v>
      </c>
      <c r="C33" t="s">
        <v>773</v>
      </c>
      <c r="D33" s="21" t="n">
        <v>0.20200000000000001</v>
      </c>
      <c r="E33" t="s">
        <v>699</v>
      </c>
      <c r="F33" t="n">
        <v>0.69399999999999995</v>
      </c>
      <c r="G33" t="n">
        <v>2.5000000000000001E-2</v>
      </c>
      <c r="H33" t="s">
        <v>686</v>
      </c>
    </row>
  </sheetData>
  <conditionalFormatting sqref="D2:D33">
    <cfRule type="cellIs" dxfId="9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45" zoomScaleNormal="145" workbookViewId="0">
      <selection activeCell="D35" sqref="D35"/>
    </sheetView>
  </sheetViews>
  <sheetFormatPr defaultRowHeight="15.0" baseColWidth="10"/>
  <cols>
    <col min="1" max="1" width="16.42578125" hidden="0" customWidth="1"/>
    <col min="2" max="2" width="7.5703125" hidden="0" customWidth="1"/>
    <col min="3" max="3" width="13.7109375" hidden="0" customWidth="1"/>
    <col min="4" max="4" width="18.85546875" hidden="0" customWidth="1"/>
    <col min="5" max="5" width="16.7109375" hidden="0" customWidth="1"/>
    <col min="6" max="6" width="16.7109375" hidden="0" customWidth="1"/>
  </cols>
  <sheetData>
    <row r="1">
      <c r="A1" t="s">
        <v>675</v>
      </c>
      <c r="B1" t="s">
        <v>678</v>
      </c>
      <c r="C1" t="s">
        <v>679</v>
      </c>
      <c r="D1" t="s">
        <v>774</v>
      </c>
      <c r="E1" t="s">
        <v>676</v>
      </c>
      <c r="F1" t="s">
        <v>677</v>
      </c>
    </row>
    <row r="2">
      <c r="A2" t="s">
        <v>683</v>
      </c>
      <c r="B2" s="21" t="n">
        <v>0.56299999999999994</v>
      </c>
      <c r="C2" t="s">
        <v>775</v>
      </c>
      <c r="D2" t="s">
        <v>776</v>
      </c>
      <c r="E2" t="s">
        <v>684</v>
      </c>
      <c r="F2" t="s">
        <v>684</v>
      </c>
    </row>
    <row r="3">
      <c r="A3" t="s">
        <v>687</v>
      </c>
      <c r="B3" s="21" t="n">
        <v>0.40600000000000003</v>
      </c>
      <c r="C3" t="s">
        <v>775</v>
      </c>
      <c r="D3" t="s">
        <v>777</v>
      </c>
      <c r="E3" t="s">
        <v>688</v>
      </c>
      <c r="F3" t="s">
        <v>689</v>
      </c>
    </row>
    <row r="4">
      <c r="A4" t="s">
        <v>690</v>
      </c>
      <c r="B4" s="21" t="n">
        <v>0.754</v>
      </c>
      <c r="C4" t="s">
        <v>775</v>
      </c>
      <c r="D4" t="s">
        <v>778</v>
      </c>
      <c r="E4" t="s">
        <v>691</v>
      </c>
      <c r="F4" t="s">
        <v>692</v>
      </c>
    </row>
    <row r="5">
      <c r="A5" t="s">
        <v>693</v>
      </c>
      <c r="B5" s="21" t="n">
        <v>0.61599999999999999</v>
      </c>
      <c r="C5" t="s">
        <v>775</v>
      </c>
      <c r="D5" t="s">
        <v>779</v>
      </c>
      <c r="E5" t="s">
        <v>694</v>
      </c>
      <c r="F5" t="s">
        <v>695</v>
      </c>
    </row>
    <row r="6">
      <c r="A6" t="s">
        <v>696</v>
      </c>
      <c r="B6" s="21" t="n">
        <v>0.751</v>
      </c>
      <c r="C6" t="s">
        <v>780</v>
      </c>
      <c r="D6" t="s">
        <v>781</v>
      </c>
      <c r="E6" t="s">
        <v>697</v>
      </c>
      <c r="F6" t="s">
        <v>698</v>
      </c>
    </row>
    <row r="7">
      <c r="A7" t="s">
        <v>700</v>
      </c>
      <c r="B7" s="21" t="n">
        <v>0.47099999999999997</v>
      </c>
      <c r="C7" t="s">
        <v>780</v>
      </c>
      <c r="D7" t="s">
        <v>782</v>
      </c>
      <c r="E7" t="s">
        <v>701</v>
      </c>
      <c r="F7" t="s">
        <v>702</v>
      </c>
    </row>
    <row r="8">
      <c r="A8" t="s">
        <v>703</v>
      </c>
      <c r="B8" s="21" t="n">
        <v>0.27400000000000002</v>
      </c>
      <c r="C8" t="s">
        <v>775</v>
      </c>
      <c r="D8" t="s">
        <v>704</v>
      </c>
      <c r="E8" t="s">
        <v>704</v>
      </c>
      <c r="F8" t="s">
        <v>704</v>
      </c>
    </row>
    <row r="9">
      <c r="A9" t="s">
        <v>705</v>
      </c>
      <c r="B9" s="21" t="n">
        <v>0.309</v>
      </c>
      <c r="C9" t="s">
        <v>775</v>
      </c>
      <c r="D9" t="s">
        <v>783</v>
      </c>
      <c r="E9" t="s">
        <v>706</v>
      </c>
      <c r="F9" t="s">
        <v>707</v>
      </c>
    </row>
    <row r="10">
      <c r="A10" t="s">
        <v>708</v>
      </c>
      <c r="B10" s="21" t="n">
        <v>0.10199999999999999</v>
      </c>
      <c r="C10" t="s">
        <v>775</v>
      </c>
      <c r="D10" t="s">
        <v>784</v>
      </c>
      <c r="E10" t="s">
        <v>709</v>
      </c>
      <c r="F10" t="s">
        <v>710</v>
      </c>
    </row>
    <row r="11">
      <c r="A11" t="s">
        <v>711</v>
      </c>
      <c r="B11" s="21" t="n">
        <v>0.157</v>
      </c>
      <c r="C11" t="s">
        <v>780</v>
      </c>
      <c r="D11" t="s">
        <v>785</v>
      </c>
      <c r="E11" t="s">
        <v>712</v>
      </c>
      <c r="F11" t="s">
        <v>713</v>
      </c>
    </row>
    <row r="12">
      <c r="A12" t="s">
        <v>714</v>
      </c>
      <c r="B12" s="21" t="n">
        <v>0.73699999999999999</v>
      </c>
      <c r="C12" t="s">
        <v>775</v>
      </c>
      <c r="D12" t="s">
        <v>786</v>
      </c>
      <c r="E12" t="s">
        <v>715</v>
      </c>
      <c r="F12" t="s">
        <v>716</v>
      </c>
    </row>
    <row r="13">
      <c r="A13" t="s">
        <v>717</v>
      </c>
      <c r="B13" s="21" t="n">
        <v>0.32900000000000001</v>
      </c>
      <c r="C13" t="s">
        <v>775</v>
      </c>
      <c r="D13" t="s">
        <v>787</v>
      </c>
      <c r="E13" t="s">
        <v>718</v>
      </c>
      <c r="F13" t="s">
        <v>719</v>
      </c>
    </row>
    <row r="14">
      <c r="A14" t="s">
        <v>720</v>
      </c>
      <c r="B14" s="21" t="n">
        <v>0.255</v>
      </c>
      <c r="C14" t="s">
        <v>775</v>
      </c>
      <c r="D14" t="s">
        <v>788</v>
      </c>
      <c r="E14" t="s">
        <v>721</v>
      </c>
      <c r="F14" t="s">
        <v>722</v>
      </c>
    </row>
    <row r="15">
      <c r="A15" t="s">
        <v>723</v>
      </c>
      <c r="B15" s="21" t="n">
        <v>0.38400000000000001</v>
      </c>
      <c r="C15" t="s">
        <v>780</v>
      </c>
      <c r="D15" t="s">
        <v>789</v>
      </c>
      <c r="E15" t="s">
        <v>724</v>
      </c>
      <c r="F15" t="s">
        <v>725</v>
      </c>
    </row>
    <row r="16">
      <c r="A16" t="s">
        <v>726</v>
      </c>
      <c r="B16" s="21" t="n">
        <v>0.34799999999999998</v>
      </c>
      <c r="C16" t="s">
        <v>775</v>
      </c>
      <c r="D16" t="s">
        <v>790</v>
      </c>
      <c r="E16" t="s">
        <v>727</v>
      </c>
      <c r="F16" t="s">
        <v>728</v>
      </c>
    </row>
    <row r="17">
      <c r="A17" t="s">
        <v>729</v>
      </c>
      <c r="B17" s="21" t="n">
        <v>8.8999999999999996E-2</v>
      </c>
      <c r="C17" t="s">
        <v>775</v>
      </c>
      <c r="D17" t="s">
        <v>791</v>
      </c>
      <c r="E17" t="s">
        <v>730</v>
      </c>
      <c r="F17" t="s">
        <v>731</v>
      </c>
    </row>
    <row r="18">
      <c r="A18" t="s">
        <v>732</v>
      </c>
      <c r="B18" s="21" t="n">
        <v>8.8999999999999996E-2</v>
      </c>
      <c r="C18" t="s">
        <v>775</v>
      </c>
      <c r="D18" t="s">
        <v>792</v>
      </c>
      <c r="E18" t="s">
        <v>733</v>
      </c>
      <c r="F18" t="s">
        <v>734</v>
      </c>
    </row>
    <row r="19">
      <c r="A19" t="s">
        <v>735</v>
      </c>
      <c r="B19" s="21" t="n">
        <v>0.85499999999999998</v>
      </c>
      <c r="C19" t="s">
        <v>780</v>
      </c>
      <c r="D19" t="s">
        <v>793</v>
      </c>
      <c r="E19" t="s">
        <v>736</v>
      </c>
      <c r="F19" t="s">
        <v>737</v>
      </c>
    </row>
    <row r="20">
      <c r="A20" t="s">
        <v>738</v>
      </c>
      <c r="B20" s="21" t="n">
        <v>0.54400000000000004</v>
      </c>
      <c r="C20" t="s">
        <v>780</v>
      </c>
      <c r="D20" t="s">
        <v>794</v>
      </c>
      <c r="E20" t="s">
        <v>739</v>
      </c>
      <c r="F20" t="s">
        <v>740</v>
      </c>
    </row>
    <row r="21">
      <c r="A21" t="s">
        <v>741</v>
      </c>
      <c r="B21" s="21" t="n">
        <v>0.61799999999999999</v>
      </c>
      <c r="C21" t="s">
        <v>780</v>
      </c>
      <c r="D21" t="s">
        <v>742</v>
      </c>
      <c r="E21" t="s">
        <v>742</v>
      </c>
      <c r="F21" t="s">
        <v>743</v>
      </c>
    </row>
    <row r="22">
      <c r="A22" t="s">
        <v>744</v>
      </c>
      <c r="B22" s="21" t="n">
        <v>0.25</v>
      </c>
      <c r="C22" t="s">
        <v>775</v>
      </c>
      <c r="D22" t="s">
        <v>745</v>
      </c>
      <c r="E22" t="s">
        <v>745</v>
      </c>
      <c r="F22" t="s">
        <v>746</v>
      </c>
    </row>
    <row r="23">
      <c r="A23" t="s">
        <v>747</v>
      </c>
      <c r="B23" s="21" t="n">
        <v>0.184</v>
      </c>
      <c r="C23" t="s">
        <v>780</v>
      </c>
      <c r="D23" t="s">
        <v>745</v>
      </c>
      <c r="E23" t="s">
        <v>748</v>
      </c>
      <c r="F23" t="s">
        <v>746</v>
      </c>
    </row>
    <row r="24">
      <c r="A24" t="s">
        <v>749</v>
      </c>
      <c r="B24" s="21" t="n">
        <v>0.30499999999999999</v>
      </c>
      <c r="C24" t="s">
        <v>780</v>
      </c>
      <c r="D24" t="s">
        <v>745</v>
      </c>
      <c r="E24" t="s">
        <v>745</v>
      </c>
      <c r="F24" t="s">
        <v>746</v>
      </c>
    </row>
    <row r="25">
      <c r="A25" t="s">
        <v>750</v>
      </c>
      <c r="B25" s="21" t="n">
        <v>8.4000000000000005E-2</v>
      </c>
      <c r="C25" t="s">
        <v>780</v>
      </c>
      <c r="D25" t="s">
        <v>748</v>
      </c>
      <c r="E25" t="s">
        <v>746</v>
      </c>
      <c r="F25" t="s">
        <v>751</v>
      </c>
    </row>
    <row r="26">
      <c r="A26" t="s">
        <v>752</v>
      </c>
      <c r="B26" s="21" t="n">
        <v>8.6999999999999994E-2</v>
      </c>
      <c r="C26" t="s">
        <v>775</v>
      </c>
      <c r="D26" t="s">
        <v>795</v>
      </c>
      <c r="E26" t="s">
        <v>748</v>
      </c>
      <c r="F26" t="s">
        <v>751</v>
      </c>
    </row>
    <row r="27">
      <c r="A27" t="s">
        <v>753</v>
      </c>
      <c r="B27" s="21" t="n">
        <v>0.75900000000000001</v>
      </c>
      <c r="C27" t="s">
        <v>775</v>
      </c>
      <c r="D27" t="s">
        <v>796</v>
      </c>
      <c r="E27" t="s">
        <v>754</v>
      </c>
      <c r="F27" t="s">
        <v>755</v>
      </c>
    </row>
    <row r="28">
      <c r="A28" t="s">
        <v>756</v>
      </c>
      <c r="B28" s="21" t="n">
        <v>0.67300000000000004</v>
      </c>
      <c r="C28" t="s">
        <v>780</v>
      </c>
      <c r="D28" t="s">
        <v>797</v>
      </c>
      <c r="E28" t="s">
        <v>757</v>
      </c>
      <c r="F28" t="s">
        <v>758</v>
      </c>
    </row>
    <row r="29">
      <c r="A29" t="s">
        <v>759</v>
      </c>
      <c r="B29" s="21" t="n">
        <v>0.625</v>
      </c>
      <c r="C29" t="s">
        <v>775</v>
      </c>
      <c r="D29" t="s">
        <v>760</v>
      </c>
      <c r="E29" t="s">
        <v>760</v>
      </c>
      <c r="F29" t="s">
        <v>761</v>
      </c>
    </row>
    <row r="30">
      <c r="A30" t="s">
        <v>762</v>
      </c>
      <c r="B30" s="21" t="n">
        <v>0.48699999999999999</v>
      </c>
      <c r="C30" t="s">
        <v>775</v>
      </c>
      <c r="D30" t="s">
        <v>798</v>
      </c>
      <c r="E30" t="s">
        <v>763</v>
      </c>
      <c r="F30" t="s">
        <v>764</v>
      </c>
    </row>
    <row r="31">
      <c r="A31" t="s">
        <v>765</v>
      </c>
      <c r="B31" s="21" t="n">
        <v>0.94</v>
      </c>
      <c r="C31" t="s">
        <v>780</v>
      </c>
      <c r="D31" t="s">
        <v>799</v>
      </c>
      <c r="E31" t="s">
        <v>766</v>
      </c>
      <c r="F31" t="s">
        <v>767</v>
      </c>
    </row>
    <row r="32">
      <c r="A32" t="s">
        <v>768</v>
      </c>
      <c r="B32" s="21" t="n">
        <v>0.38200000000000001</v>
      </c>
      <c r="C32" t="s">
        <v>780</v>
      </c>
      <c r="D32" t="s">
        <v>800</v>
      </c>
      <c r="E32" t="s">
        <v>769</v>
      </c>
      <c r="F32" t="s">
        <v>770</v>
      </c>
    </row>
    <row r="33">
      <c r="A33" t="s">
        <v>771</v>
      </c>
      <c r="B33" s="21" t="n">
        <v>0.38200000000000001</v>
      </c>
      <c r="C33" t="s">
        <v>780</v>
      </c>
      <c r="D33" t="s">
        <v>801</v>
      </c>
      <c r="E33" t="s">
        <v>772</v>
      </c>
      <c r="F33" t="s">
        <v>773</v>
      </c>
    </row>
  </sheetData>
  <conditionalFormatting sqref="B2:B33">
    <cfRule type="cellIs" dxfId="8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4" tint="0.39997558519241921"/>
  </sheetPr>
  <dimension ref="A1"/>
  <sheetViews>
    <sheetView showGridLines="0" workbookViewId="0">
      <selection activeCell="O33" sqref="O33"/>
    </sheetView>
  </sheetViews>
  <sheetFormatPr defaultRowHeight="15.0" baseColWidth="10"/>
  <cols>
    <col min="5" max="5" width="10.7109375" hidden="0" customWidth="1"/>
    <col min="6" max="6" width="7.85546875" hidden="0" customWidth="1"/>
    <col min="7" max="7" width="7" hidden="0" customWidth="1"/>
    <col min="8" max="8" width="8.28515625" hidden="0" customWidth="1"/>
    <col min="9" max="9" width="7" hidden="0" customWidth="1"/>
    <col min="10" max="10" width="6.7109375" hidden="0" customWidth="1"/>
    <col min="11" max="11" width="4.5703125" hidden="0" customWidth="1"/>
    <col min="13" max="13" width="11.85546875" hidden="0" customWidth="1"/>
    <col min="14" max="14" width="12.7109375" hidden="0" customWidth="1"/>
    <col min="15" max="15" width="13.5703125" hidden="0" customWidth="1"/>
    <col min="16" max="16" width="18.85546875" hidden="0" customWidth="1"/>
  </cols>
  <sheetData>
    <row r="1">
      <c r="A1" s="24"/>
      <c r="E1" t="s">
        <v>182</v>
      </c>
      <c r="F1" t="s">
        <v>183</v>
      </c>
      <c r="G1" t="s">
        <v>184</v>
      </c>
      <c r="H1" t="s">
        <v>181</v>
      </c>
      <c r="I1" t="s">
        <v>184</v>
      </c>
      <c r="J1" t="s">
        <v>180</v>
      </c>
      <c r="K1" t="s">
        <v>185</v>
      </c>
    </row>
    <row r="2">
      <c r="A2" s="24"/>
      <c r="B2" t="s">
        <v>175</v>
      </c>
      <c r="M2" s="31"/>
      <c r="N2" s="32" t="s">
        <v>676</v>
      </c>
      <c r="O2" s="32" t="s">
        <v>677</v>
      </c>
      <c r="P2" s="32" t="s">
        <v>123</v>
      </c>
    </row>
    <row r="3" ht="15.75" customHeight="1">
      <c r="A3" s="24"/>
      <c r="B3" t="s">
        <v>176</v>
      </c>
      <c r="C3" t="s">
        <v>177</v>
      </c>
      <c r="D3" t="s">
        <v>178</v>
      </c>
      <c r="E3" s="23" t="n">
        <v>54.91</v>
      </c>
      <c r="F3" s="23" t="n">
        <v>-3.97</v>
      </c>
      <c r="G3" s="23" t="n">
        <v>59.04</v>
      </c>
      <c r="H3" s="23" t="n">
        <v>-5.61</v>
      </c>
      <c r="I3" s="23" t="n">
        <v>59.8</v>
      </c>
      <c r="J3" s="23" t="n">
        <v>-4.55</v>
      </c>
      <c r="M3" s="29"/>
      <c r="N3" s="30" t="s">
        <v>967</v>
      </c>
      <c r="O3" s="30" t="s">
        <v>968</v>
      </c>
      <c r="P3" s="30" t="s">
        <v>969</v>
      </c>
    </row>
    <row r="4">
      <c r="A4" s="24"/>
      <c r="B4" t="s">
        <v>186</v>
      </c>
      <c r="C4" t="s">
        <v>177</v>
      </c>
      <c r="D4" t="s">
        <v>178</v>
      </c>
      <c r="E4" s="23" t="n">
        <v>168.49</v>
      </c>
      <c r="F4" s="23" t="n">
        <v>-4.72</v>
      </c>
      <c r="G4" s="23" t="n">
        <v>166.64</v>
      </c>
      <c r="H4" s="23" t="n">
        <v>-5.57</v>
      </c>
      <c r="I4" s="23" t="n">
        <v>168.55</v>
      </c>
      <c r="J4" s="23" t="n">
        <v>-6.12</v>
      </c>
      <c r="M4" s="28" t="s">
        <v>964</v>
      </c>
      <c r="N4" s="27" t="str">
        <f>ROUND(E3,1)&amp;" ± "&amp;ROUND(F3,1)</f>
        <v>54,9 ± -4</v>
      </c>
      <c r="O4" s="27" t="str">
        <f>ROUND(G3,1)&amp;" ± "&amp;ROUND(H3,1)</f>
        <v>59 ± -5,6</v>
      </c>
      <c r="P4" s="27" t="str">
        <f>ROUND(I3,1)&amp;" ± "&amp;ROUND(J3,1)</f>
        <v>59,8 ± -4,6</v>
      </c>
      <c r="T4" s="26" t="s">
        <v>806</v>
      </c>
    </row>
    <row r="5">
      <c r="A5" s="24"/>
      <c r="B5" t="s">
        <v>187</v>
      </c>
      <c r="C5" t="s">
        <v>177</v>
      </c>
      <c r="D5" t="s">
        <v>178</v>
      </c>
      <c r="E5" s="23" t="n">
        <v>75.53</v>
      </c>
      <c r="F5" s="23" t="n">
        <v>-12.46</v>
      </c>
      <c r="G5" s="23" t="n">
        <v>73.790000000000006</v>
      </c>
      <c r="H5" s="23" t="n">
        <v>-11.51</v>
      </c>
      <c r="I5" s="23" t="n">
        <v>79.540000000000006</v>
      </c>
      <c r="J5" s="23" t="n">
        <v>-12.88</v>
      </c>
      <c r="M5" s="28" t="s">
        <v>494</v>
      </c>
      <c r="N5" s="27" t="str">
        <f t="shared" ref="N5:N7" si="0">ROUND(E4,1)&amp;" ± "&amp;ROUND(F4,1)</f>
        <v>168,5 ± -4,7</v>
      </c>
      <c r="O5" s="27" t="str">
        <f t="shared" ref="O5:O7" si="1">ROUND(G4,1)&amp;" ± "&amp;ROUND(H4,1)</f>
        <v>166,6 ± -5,6</v>
      </c>
      <c r="P5" s="27" t="str">
        <f t="shared" ref="P5:P7" si="2">ROUND(I4,1)&amp;" ± "&amp;ROUND(J4,1)</f>
        <v>168,6 ± -6,1</v>
      </c>
    </row>
    <row r="6">
      <c r="A6" s="25"/>
      <c r="B6" t="s">
        <v>179</v>
      </c>
      <c r="C6" t="s">
        <v>177</v>
      </c>
      <c r="D6" t="s">
        <v>178</v>
      </c>
      <c r="E6" t="n">
        <v>26.61</v>
      </c>
      <c r="F6" t="n">
        <v>-4.33</v>
      </c>
      <c r="G6" t="n">
        <v>26.62</v>
      </c>
      <c r="H6" t="n">
        <v>-4.28</v>
      </c>
      <c r="I6" t="n">
        <v>28.08</v>
      </c>
      <c r="J6" t="n">
        <v>-4.7300000000000004</v>
      </c>
      <c r="M6" s="28" t="s">
        <v>965</v>
      </c>
      <c r="N6" s="27" t="str">
        <f t="shared" si="0"/>
        <v>75,5 ± -12,5</v>
      </c>
      <c r="O6" s="27" t="str">
        <f t="shared" si="1"/>
        <v>73,8 ± -11,5</v>
      </c>
      <c r="P6" s="27" t="str">
        <f t="shared" si="2"/>
        <v>79,5 ± -12,9</v>
      </c>
    </row>
    <row r="7" ht="15.75" customHeight="1">
      <c r="M7" s="29" t="s">
        <v>966</v>
      </c>
      <c r="N7" s="30" t="str">
        <f t="shared" si="0"/>
        <v>26,6 ± -4,3</v>
      </c>
      <c r="O7" s="30" t="str">
        <f t="shared" si="1"/>
        <v>26,6 ± -4,3</v>
      </c>
      <c r="P7" s="30" t="str">
        <f t="shared" si="2"/>
        <v>28,1 ± -4,7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4" tint="0.39997558519241921"/>
  </sheetPr>
  <dimension ref="A1"/>
  <sheetViews>
    <sheetView showGridLines="0" workbookViewId="0">
      <selection activeCell="K38" sqref="K38"/>
    </sheetView>
  </sheetViews>
  <sheetFormatPr defaultRowHeight="15.0" baseColWidth="10"/>
  <cols>
    <col min="2" max="2" width="7.7109375" hidden="0" customWidth="1"/>
    <col min="3" max="3" width="16.42578125" hidden="0" customWidth="1"/>
    <col min="4" max="4" width="16.140625" hidden="0" customWidth="1"/>
    <col min="5" max="5" width="16.140625" hidden="0" customWidth="1"/>
    <col min="6" max="6" width="23.28515625" hidden="0" customWidth="1"/>
    <col min="7" max="7" width="23.28515625" hidden="0" customWidth="1"/>
  </cols>
  <sheetData>
    <row r="2" ht="18.75" customHeight="1">
      <c r="D2" s="35" t="s">
        <v>961</v>
      </c>
      <c r="E2" s="35"/>
      <c r="F2" s="35" t="s">
        <v>962</v>
      </c>
      <c r="G2" s="35"/>
    </row>
    <row r="3">
      <c r="B3" t="s">
        <v>279</v>
      </c>
      <c r="C3" t="s">
        <v>188</v>
      </c>
      <c r="D3" s="27" t="s">
        <v>324</v>
      </c>
      <c r="E3" t="s">
        <v>325</v>
      </c>
      <c r="F3" s="27" t="s">
        <v>324</v>
      </c>
      <c r="G3" t="s">
        <v>325</v>
      </c>
    </row>
    <row r="4">
      <c r="B4" t="s">
        <v>315</v>
      </c>
      <c r="C4" t="s">
        <v>223</v>
      </c>
      <c r="D4" s="27" t="n">
        <v>-0.72</v>
      </c>
      <c r="E4" t="s">
        <v>329</v>
      </c>
      <c r="F4" s="27" t="n">
        <v>0.13</v>
      </c>
      <c r="G4" t="s">
        <v>333</v>
      </c>
    </row>
    <row r="5">
      <c r="B5" t="s">
        <v>300</v>
      </c>
      <c r="C5" t="s">
        <v>215</v>
      </c>
      <c r="D5" s="27" t="n">
        <v>-0.09</v>
      </c>
      <c r="E5" t="s">
        <v>333</v>
      </c>
      <c r="F5" s="34" t="n">
        <v>-0.5</v>
      </c>
      <c r="G5" t="s">
        <v>329</v>
      </c>
    </row>
    <row r="6">
      <c r="B6" t="s">
        <v>300</v>
      </c>
      <c r="C6" t="s">
        <v>213</v>
      </c>
      <c r="D6" s="27" t="n">
        <v>0.15</v>
      </c>
      <c r="E6" t="s">
        <v>333</v>
      </c>
      <c r="F6" s="27" t="n">
        <v>0.02</v>
      </c>
      <c r="G6" t="s">
        <v>333</v>
      </c>
    </row>
    <row r="7">
      <c r="B7" t="s">
        <v>300</v>
      </c>
      <c r="C7" t="s">
        <v>218</v>
      </c>
      <c r="D7" s="27" t="n">
        <v>-0.46</v>
      </c>
      <c r="E7" t="s">
        <v>338</v>
      </c>
      <c r="F7" s="27" t="n">
        <v>0.23</v>
      </c>
      <c r="G7" t="s">
        <v>338</v>
      </c>
    </row>
    <row r="8">
      <c r="B8" t="s">
        <v>300</v>
      </c>
      <c r="C8" t="s">
        <v>212</v>
      </c>
      <c r="D8" s="27" t="n">
        <v>0.11</v>
      </c>
      <c r="E8" t="s">
        <v>333</v>
      </c>
      <c r="F8" s="27" t="n">
        <v>-0.46</v>
      </c>
      <c r="G8" t="s">
        <v>338</v>
      </c>
    </row>
    <row r="9">
      <c r="B9" t="s">
        <v>300</v>
      </c>
      <c r="C9" t="s">
        <v>222</v>
      </c>
      <c r="D9" s="27" t="n">
        <v>0.2</v>
      </c>
      <c r="E9" t="s">
        <v>333</v>
      </c>
      <c r="F9" s="27" t="n">
        <v>0.24</v>
      </c>
      <c r="G9" t="s">
        <v>338</v>
      </c>
    </row>
    <row r="10">
      <c r="B10" t="s">
        <v>300</v>
      </c>
      <c r="C10" t="s">
        <v>214</v>
      </c>
      <c r="D10" s="27" t="n">
        <v>-0.64</v>
      </c>
      <c r="E10" t="s">
        <v>329</v>
      </c>
      <c r="F10" s="27" t="n">
        <v>-0.34</v>
      </c>
      <c r="G10" t="s">
        <v>338</v>
      </c>
    </row>
    <row r="11">
      <c r="B11" t="s">
        <v>300</v>
      </c>
      <c r="C11" t="s">
        <v>219</v>
      </c>
      <c r="D11" s="27" t="n">
        <v>-0.71</v>
      </c>
      <c r="E11" t="s">
        <v>329</v>
      </c>
      <c r="F11" s="27" t="n">
        <v>0.18</v>
      </c>
      <c r="G11" t="s">
        <v>333</v>
      </c>
    </row>
    <row r="12">
      <c r="B12" t="s">
        <v>300</v>
      </c>
      <c r="C12" t="s">
        <v>216</v>
      </c>
      <c r="D12" s="27" t="n">
        <v>-0.36</v>
      </c>
      <c r="E12" t="s">
        <v>338</v>
      </c>
      <c r="F12" s="27" t="n">
        <v>0.65</v>
      </c>
      <c r="G12" t="s">
        <v>329</v>
      </c>
    </row>
    <row r="13">
      <c r="B13" t="s">
        <v>300</v>
      </c>
      <c r="C13" t="s">
        <v>220</v>
      </c>
      <c r="D13" s="27" t="n">
        <v>-0.34</v>
      </c>
      <c r="E13" t="s">
        <v>338</v>
      </c>
      <c r="F13" s="27" t="n">
        <v>0.04</v>
      </c>
      <c r="G13" t="s">
        <v>333</v>
      </c>
    </row>
    <row r="14">
      <c r="B14" t="s">
        <v>300</v>
      </c>
      <c r="C14" t="s">
        <v>217</v>
      </c>
      <c r="D14" s="27" t="n">
        <v>-0.65</v>
      </c>
      <c r="E14" t="s">
        <v>329</v>
      </c>
      <c r="F14" s="27" t="n">
        <v>0.21</v>
      </c>
      <c r="G14" t="s">
        <v>338</v>
      </c>
    </row>
    <row r="15">
      <c r="B15" t="s">
        <v>300</v>
      </c>
      <c r="C15" t="s">
        <v>210</v>
      </c>
      <c r="D15" s="27" t="n">
        <v>-0.64</v>
      </c>
      <c r="E15" t="s">
        <v>329</v>
      </c>
      <c r="F15" s="27" t="n">
        <v>-0.42</v>
      </c>
      <c r="G15" t="s">
        <v>338</v>
      </c>
    </row>
    <row r="16">
      <c r="B16" t="s">
        <v>300</v>
      </c>
      <c r="C16" t="s">
        <v>211</v>
      </c>
      <c r="D16" s="33" t="n">
        <v>-0.6</v>
      </c>
      <c r="E16" t="s">
        <v>329</v>
      </c>
      <c r="F16" s="27" t="n">
        <v>-0.51</v>
      </c>
      <c r="G16" t="s">
        <v>329</v>
      </c>
    </row>
    <row r="17">
      <c r="B17" t="s">
        <v>286</v>
      </c>
      <c r="C17" t="s">
        <v>202</v>
      </c>
      <c r="D17" s="27" t="n">
        <v>-0.01</v>
      </c>
      <c r="E17" t="s">
        <v>333</v>
      </c>
      <c r="F17" s="27" t="n">
        <v>-0.43</v>
      </c>
      <c r="G17" t="s">
        <v>338</v>
      </c>
    </row>
    <row r="18">
      <c r="B18" t="s">
        <v>286</v>
      </c>
      <c r="C18" t="s">
        <v>203</v>
      </c>
      <c r="D18" s="27" t="n">
        <v>0.32</v>
      </c>
      <c r="E18" t="s">
        <v>338</v>
      </c>
      <c r="F18" s="27" t="n">
        <v>-0.49</v>
      </c>
      <c r="G18" t="s">
        <v>338</v>
      </c>
    </row>
    <row r="19">
      <c r="B19" t="s">
        <v>286</v>
      </c>
      <c r="C19" t="s">
        <v>204</v>
      </c>
      <c r="D19" s="27" t="n">
        <v>0.22</v>
      </c>
      <c r="E19" t="s">
        <v>338</v>
      </c>
      <c r="F19" s="27" t="n">
        <v>-0.46</v>
      </c>
      <c r="G19" t="s">
        <v>338</v>
      </c>
    </row>
    <row r="20">
      <c r="B20" t="s">
        <v>286</v>
      </c>
      <c r="C20" t="s">
        <v>205</v>
      </c>
      <c r="D20" s="27" t="n">
        <v>-0.04</v>
      </c>
      <c r="E20" t="s">
        <v>333</v>
      </c>
      <c r="F20" s="27" t="n">
        <v>-0.08</v>
      </c>
      <c r="G20" t="s">
        <v>333</v>
      </c>
    </row>
    <row r="21">
      <c r="B21" t="s">
        <v>286</v>
      </c>
      <c r="C21" t="s">
        <v>206</v>
      </c>
      <c r="D21" s="27" t="n">
        <v>-0.28000000000000003</v>
      </c>
      <c r="E21" t="s">
        <v>338</v>
      </c>
      <c r="F21" s="27" t="n">
        <v>-0.36</v>
      </c>
      <c r="G21" t="s">
        <v>338</v>
      </c>
    </row>
    <row r="22">
      <c r="B22" t="s">
        <v>286</v>
      </c>
      <c r="C22" t="s">
        <v>207</v>
      </c>
      <c r="D22" s="27" t="n">
        <v>-0.19</v>
      </c>
      <c r="E22" t="s">
        <v>333</v>
      </c>
      <c r="F22" s="27" t="n">
        <v>-0.19</v>
      </c>
      <c r="G22" t="s">
        <v>333</v>
      </c>
    </row>
    <row r="23">
      <c r="B23" t="s">
        <v>286</v>
      </c>
      <c r="C23" t="s">
        <v>208</v>
      </c>
      <c r="D23" s="27" t="n">
        <v>-0.28000000000000003</v>
      </c>
      <c r="E23" t="s">
        <v>338</v>
      </c>
      <c r="F23" s="27" t="n">
        <v>-0.74</v>
      </c>
      <c r="G23" t="s">
        <v>329</v>
      </c>
    </row>
    <row r="24">
      <c r="B24" t="s">
        <v>286</v>
      </c>
      <c r="C24" t="s">
        <v>197</v>
      </c>
      <c r="D24" s="27" t="n">
        <v>-0.31</v>
      </c>
      <c r="E24" t="s">
        <v>338</v>
      </c>
      <c r="F24" s="27" t="n">
        <v>-0.39</v>
      </c>
      <c r="G24" t="s">
        <v>338</v>
      </c>
    </row>
    <row r="25">
      <c r="B25" t="s">
        <v>286</v>
      </c>
      <c r="C25" t="s">
        <v>198</v>
      </c>
      <c r="D25" s="27" t="n">
        <v>0.01</v>
      </c>
      <c r="E25" t="s">
        <v>333</v>
      </c>
      <c r="F25" s="27" t="n">
        <v>-0.32</v>
      </c>
      <c r="G25" t="s">
        <v>338</v>
      </c>
    </row>
    <row r="26">
      <c r="B26" t="s">
        <v>286</v>
      </c>
      <c r="C26" t="s">
        <v>199</v>
      </c>
      <c r="D26" s="27" t="n">
        <v>-0.11</v>
      </c>
      <c r="E26" t="s">
        <v>333</v>
      </c>
      <c r="F26" s="27" t="n">
        <v>-0.42</v>
      </c>
      <c r="G26" t="s">
        <v>338</v>
      </c>
    </row>
    <row r="27">
      <c r="B27" t="s">
        <v>286</v>
      </c>
      <c r="C27" t="s">
        <v>209</v>
      </c>
      <c r="D27" s="27" t="n">
        <v>-0.17</v>
      </c>
      <c r="E27" t="s">
        <v>333</v>
      </c>
      <c r="F27" s="27" t="n">
        <v>-0.85</v>
      </c>
      <c r="G27" t="s">
        <v>443</v>
      </c>
    </row>
    <row r="28">
      <c r="B28" t="s">
        <v>286</v>
      </c>
      <c r="C28" t="s">
        <v>200</v>
      </c>
      <c r="D28" s="27" t="n">
        <v>0.4</v>
      </c>
      <c r="E28" t="s">
        <v>338</v>
      </c>
      <c r="F28" s="27" t="n">
        <v>-0.08</v>
      </c>
      <c r="G28" t="s">
        <v>333</v>
      </c>
    </row>
    <row r="29">
      <c r="B29" t="s">
        <v>286</v>
      </c>
      <c r="C29" t="s">
        <v>201</v>
      </c>
      <c r="D29" s="27" t="n">
        <v>-0.4</v>
      </c>
      <c r="E29" t="s">
        <v>338</v>
      </c>
      <c r="F29" s="27" t="n">
        <v>0.08</v>
      </c>
      <c r="G29" t="s">
        <v>333</v>
      </c>
    </row>
  </sheetData>
  <mergeCells count="2">
    <mergeCell ref="D2:E2"/>
    <mergeCell ref="F2:G2"/>
  </mergeCells>
  <conditionalFormatting sqref="D4:D29">
    <cfRule type="cellIs" dxfId="7" priority="3" operator="greaterThan">
      <formula>0.5</formula>
    </cfRule>
    <cfRule type="cellIs" dxfId="6" priority="4" operator="lessThan">
      <formula>-0.5</formula>
    </cfRule>
  </conditionalFormatting>
  <conditionalFormatting sqref="F4:F29">
    <cfRule type="cellIs" dxfId="5" priority="1" operator="greaterThan">
      <formula>0.5</formula>
    </cfRule>
    <cfRule type="cellIs" dxfId="4" priority="2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4" tint="0.39997558519241921"/>
  </sheetPr>
  <dimension ref="A1"/>
  <sheetViews>
    <sheetView showGridLines="0" topLeftCell="A2" zoomScale="115" zoomScaleNormal="115" workbookViewId="0">
      <selection activeCell="C49" sqref="B49:C49"/>
    </sheetView>
  </sheetViews>
  <sheetFormatPr defaultRowHeight="15.0" baseColWidth="10"/>
  <cols>
    <col min="2" max="2" width="23.7109375" hidden="0" customWidth="1"/>
    <col min="3" max="3" width="3.42578125" hidden="0" customWidth="1"/>
    <col min="4" max="4" width="18.28515625" hidden="0" customWidth="1"/>
    <col min="5" max="5" width="3.42578125" hidden="0" customWidth="1"/>
    <col min="6" max="6" width="20" hidden="0" customWidth="1"/>
    <col min="7" max="7" width="3.42578125" hidden="0" customWidth="1"/>
    <col min="8" max="8" width="25.140625" hidden="0" customWidth="1"/>
  </cols>
  <sheetData>
    <row r="2" ht="16.5" customHeight="1">
      <c r="B2" s="38" t="s">
        <v>1004</v>
      </c>
      <c r="C2" s="42" t="s">
        <v>175</v>
      </c>
      <c r="D2" s="42" t="s">
        <v>1097</v>
      </c>
      <c r="E2" s="42" t="s">
        <v>175</v>
      </c>
      <c r="F2" s="42" t="s">
        <v>1098</v>
      </c>
      <c r="G2" s="42" t="s">
        <v>175</v>
      </c>
      <c r="H2" s="42" t="s">
        <v>1099</v>
      </c>
    </row>
    <row r="3">
      <c r="B3" s="39" t="s">
        <v>1005</v>
      </c>
      <c r="C3" s="40" t="s">
        <v>1006</v>
      </c>
      <c r="D3" s="40" t="s">
        <v>1006</v>
      </c>
      <c r="E3" s="40" t="s">
        <v>1006</v>
      </c>
      <c r="F3" s="40" t="s">
        <v>1006</v>
      </c>
      <c r="G3" s="40" t="s">
        <v>1006</v>
      </c>
      <c r="H3" s="40" t="s">
        <v>1006</v>
      </c>
    </row>
    <row r="4">
      <c r="B4" s="36" t="s">
        <v>976</v>
      </c>
      <c r="C4" s="27" t="n">
        <v>21</v>
      </c>
      <c r="D4" s="41" t="s">
        <v>1013</v>
      </c>
      <c r="E4" s="27" t="n">
        <v>13</v>
      </c>
      <c r="F4" s="41" t="s">
        <v>1014</v>
      </c>
      <c r="G4" s="27" t="n">
        <v>19</v>
      </c>
      <c r="H4" s="41" t="s">
        <v>1015</v>
      </c>
    </row>
    <row r="5">
      <c r="B5" s="36" t="s">
        <v>977</v>
      </c>
      <c r="C5" s="27" t="n">
        <v>21</v>
      </c>
      <c r="D5" s="41" t="s">
        <v>1016</v>
      </c>
      <c r="E5" s="27" t="n">
        <v>13</v>
      </c>
      <c r="F5" s="41" t="s">
        <v>1017</v>
      </c>
      <c r="G5" s="27" t="n">
        <v>19</v>
      </c>
      <c r="H5" s="41" t="s">
        <v>1018</v>
      </c>
    </row>
    <row r="6">
      <c r="B6" s="36" t="s">
        <v>978</v>
      </c>
      <c r="C6" s="27" t="n">
        <v>20</v>
      </c>
      <c r="D6" s="41" t="s">
        <v>1019</v>
      </c>
      <c r="E6" s="27" t="n">
        <v>13</v>
      </c>
      <c r="F6" s="41" t="s">
        <v>1020</v>
      </c>
      <c r="G6" s="27" t="n">
        <v>19</v>
      </c>
      <c r="H6" s="41" t="s">
        <v>1021</v>
      </c>
    </row>
    <row r="7">
      <c r="B7" s="36" t="s">
        <v>979</v>
      </c>
      <c r="C7" s="27" t="n">
        <v>20</v>
      </c>
      <c r="D7" s="41" t="s">
        <v>1022</v>
      </c>
      <c r="E7" s="27" t="n">
        <v>13</v>
      </c>
      <c r="F7" s="41" t="s">
        <v>1023</v>
      </c>
      <c r="G7" s="27" t="n">
        <v>19</v>
      </c>
      <c r="H7" s="41" t="s">
        <v>1024</v>
      </c>
    </row>
    <row r="8">
      <c r="B8" s="36" t="s">
        <v>980</v>
      </c>
      <c r="C8" s="27" t="n">
        <v>21</v>
      </c>
      <c r="D8" s="41" t="s">
        <v>1025</v>
      </c>
      <c r="E8" s="27" t="n">
        <v>13</v>
      </c>
      <c r="F8" s="41" t="s">
        <v>1026</v>
      </c>
      <c r="G8" s="27" t="n">
        <v>19</v>
      </c>
      <c r="H8" s="41" t="s">
        <v>1027</v>
      </c>
    </row>
    <row r="9">
      <c r="B9" s="36" t="s">
        <v>981</v>
      </c>
      <c r="C9" s="27" t="n">
        <v>19</v>
      </c>
      <c r="D9" s="41" t="s">
        <v>1028</v>
      </c>
      <c r="E9" s="27" t="n">
        <v>12</v>
      </c>
      <c r="F9" s="41" t="s">
        <v>1029</v>
      </c>
      <c r="G9" s="27" t="n">
        <v>15</v>
      </c>
      <c r="H9" s="41" t="s">
        <v>1030</v>
      </c>
    </row>
    <row r="10">
      <c r="B10" s="36" t="s">
        <v>982</v>
      </c>
      <c r="C10" s="27" t="n">
        <v>21</v>
      </c>
      <c r="D10" s="41" t="s">
        <v>1031</v>
      </c>
      <c r="E10" s="27" t="n">
        <v>13</v>
      </c>
      <c r="F10" s="41" t="s">
        <v>1032</v>
      </c>
      <c r="G10" s="27" t="n">
        <v>19</v>
      </c>
      <c r="H10" s="41" t="s">
        <v>1033</v>
      </c>
    </row>
    <row r="11">
      <c r="B11" s="36" t="s">
        <v>983</v>
      </c>
      <c r="C11" s="27" t="n">
        <v>17</v>
      </c>
      <c r="D11" s="41" t="s">
        <v>1034</v>
      </c>
      <c r="E11" s="27" t="n">
        <v>12</v>
      </c>
      <c r="F11" s="41" t="s">
        <v>1035</v>
      </c>
      <c r="G11" s="27" t="n">
        <v>15</v>
      </c>
      <c r="H11" s="41" t="s">
        <v>1036</v>
      </c>
    </row>
    <row r="12">
      <c r="B12" s="39" t="s">
        <v>1007</v>
      </c>
      <c r="C12" s="40"/>
      <c r="D12" s="40" t="s">
        <v>1006</v>
      </c>
      <c r="E12" s="40"/>
      <c r="F12" s="40" t="s">
        <v>1006</v>
      </c>
      <c r="G12" s="40"/>
      <c r="H12" s="40" t="s">
        <v>1006</v>
      </c>
    </row>
    <row r="13">
      <c r="B13" s="36" t="s">
        <v>984</v>
      </c>
      <c r="C13" s="27" t="n">
        <v>20</v>
      </c>
      <c r="D13" s="41" t="s">
        <v>1037</v>
      </c>
      <c r="E13" s="27" t="n">
        <v>13</v>
      </c>
      <c r="F13" s="41" t="s">
        <v>1038</v>
      </c>
      <c r="G13" s="27" t="n">
        <v>18</v>
      </c>
      <c r="H13" s="41" t="s">
        <v>1039</v>
      </c>
    </row>
    <row r="14">
      <c r="B14" s="36" t="s">
        <v>985</v>
      </c>
      <c r="C14" s="27" t="n">
        <v>20</v>
      </c>
      <c r="D14" s="41" t="s">
        <v>1040</v>
      </c>
      <c r="E14" s="27" t="n">
        <v>13</v>
      </c>
      <c r="F14" s="41" t="s">
        <v>1041</v>
      </c>
      <c r="G14" s="27" t="n">
        <v>18</v>
      </c>
      <c r="H14" s="41" t="s">
        <v>1042</v>
      </c>
    </row>
    <row r="15">
      <c r="B15" s="36" t="s">
        <v>986</v>
      </c>
      <c r="C15" s="27" t="n">
        <v>20</v>
      </c>
      <c r="D15" s="41" t="s">
        <v>1043</v>
      </c>
      <c r="E15" s="27" t="n">
        <v>13</v>
      </c>
      <c r="F15" s="41" t="s">
        <v>1044</v>
      </c>
      <c r="G15" s="27" t="n">
        <v>18</v>
      </c>
      <c r="H15" s="41" t="s">
        <v>1045</v>
      </c>
    </row>
    <row r="16">
      <c r="B16" s="39" t="s">
        <v>1008</v>
      </c>
      <c r="C16" s="40"/>
      <c r="D16" s="40" t="s">
        <v>1006</v>
      </c>
      <c r="E16" s="40"/>
      <c r="F16" s="40" t="s">
        <v>1006</v>
      </c>
      <c r="G16" s="40"/>
      <c r="H16" s="40" t="s">
        <v>1006</v>
      </c>
    </row>
    <row r="17">
      <c r="B17" s="36" t="s">
        <v>987</v>
      </c>
      <c r="C17" s="27" t="n">
        <v>20</v>
      </c>
      <c r="D17" s="41" t="s">
        <v>1046</v>
      </c>
      <c r="E17" s="27" t="n">
        <v>13</v>
      </c>
      <c r="F17" s="41" t="s">
        <v>1047</v>
      </c>
      <c r="G17" s="27" t="n">
        <v>19</v>
      </c>
      <c r="H17" s="41" t="s">
        <v>1048</v>
      </c>
    </row>
    <row r="18">
      <c r="B18" s="39" t="s">
        <v>1009</v>
      </c>
      <c r="C18" s="40"/>
      <c r="D18" s="40" t="s">
        <v>1006</v>
      </c>
      <c r="E18" s="40"/>
      <c r="F18" s="40" t="s">
        <v>1006</v>
      </c>
      <c r="G18" s="40"/>
      <c r="H18" s="40" t="s">
        <v>1006</v>
      </c>
    </row>
    <row r="19">
      <c r="B19" s="36" t="s">
        <v>988</v>
      </c>
      <c r="C19" s="27" t="n">
        <v>13</v>
      </c>
      <c r="D19" s="41" t="s">
        <v>1049</v>
      </c>
      <c r="E19" s="27" t="n">
        <v>9</v>
      </c>
      <c r="F19" s="41" t="s">
        <v>1050</v>
      </c>
      <c r="G19" s="27" t="n">
        <v>12</v>
      </c>
      <c r="H19" s="41" t="s">
        <v>1051</v>
      </c>
    </row>
    <row r="20">
      <c r="B20" s="39" t="s">
        <v>1010</v>
      </c>
      <c r="C20" s="40"/>
      <c r="D20" s="40" t="s">
        <v>1006</v>
      </c>
      <c r="E20" s="40"/>
      <c r="F20" s="40" t="s">
        <v>1006</v>
      </c>
      <c r="G20" s="40"/>
      <c r="H20" s="40" t="s">
        <v>1006</v>
      </c>
    </row>
    <row r="21">
      <c r="B21" s="36" t="s">
        <v>989</v>
      </c>
      <c r="C21" s="27" t="n">
        <v>21</v>
      </c>
      <c r="D21" s="41" t="s">
        <v>1052</v>
      </c>
      <c r="E21" s="27" t="n">
        <v>13</v>
      </c>
      <c r="F21" s="41" t="s">
        <v>1053</v>
      </c>
      <c r="G21" s="27" t="n">
        <v>18</v>
      </c>
      <c r="H21" s="41" t="s">
        <v>1054</v>
      </c>
    </row>
    <row r="22">
      <c r="B22" s="36" t="s">
        <v>990</v>
      </c>
      <c r="C22" s="27" t="n">
        <v>21</v>
      </c>
      <c r="D22" s="41" t="s">
        <v>1055</v>
      </c>
      <c r="E22" s="27" t="n">
        <v>13</v>
      </c>
      <c r="F22" s="41" t="s">
        <v>1056</v>
      </c>
      <c r="G22" s="27" t="n">
        <v>18</v>
      </c>
      <c r="H22" s="41" t="s">
        <v>1057</v>
      </c>
    </row>
    <row r="23">
      <c r="B23" s="39" t="s">
        <v>1011</v>
      </c>
      <c r="C23" s="40"/>
      <c r="D23" s="40" t="s">
        <v>1006</v>
      </c>
      <c r="E23" s="40"/>
      <c r="F23" s="40" t="s">
        <v>1006</v>
      </c>
      <c r="G23" s="40"/>
      <c r="H23" s="40" t="s">
        <v>1006</v>
      </c>
    </row>
    <row r="24">
      <c r="B24" s="36" t="s">
        <v>991</v>
      </c>
      <c r="C24" s="27" t="n">
        <v>16</v>
      </c>
      <c r="D24" s="41" t="s">
        <v>1058</v>
      </c>
      <c r="E24" s="27" t="n">
        <v>13</v>
      </c>
      <c r="F24" s="41" t="s">
        <v>1059</v>
      </c>
      <c r="G24" s="27" t="n">
        <v>19</v>
      </c>
      <c r="H24" s="41" t="s">
        <v>1060</v>
      </c>
    </row>
    <row r="25">
      <c r="B25" s="36" t="s">
        <v>992</v>
      </c>
      <c r="C25" s="27" t="n">
        <v>16</v>
      </c>
      <c r="D25" s="41" t="s">
        <v>1061</v>
      </c>
      <c r="E25" s="27" t="n">
        <v>13</v>
      </c>
      <c r="F25" s="41" t="s">
        <v>1062</v>
      </c>
      <c r="G25" s="27" t="n">
        <v>19</v>
      </c>
      <c r="H25" s="41" t="s">
        <v>1063</v>
      </c>
    </row>
    <row r="26">
      <c r="B26" s="36" t="s">
        <v>993</v>
      </c>
      <c r="C26" s="27" t="n">
        <v>16</v>
      </c>
      <c r="D26" s="41" t="s">
        <v>1064</v>
      </c>
      <c r="E26" s="27" t="n">
        <v>13</v>
      </c>
      <c r="F26" s="41" t="s">
        <v>1065</v>
      </c>
      <c r="G26" s="27" t="n">
        <v>19</v>
      </c>
      <c r="H26" s="41" t="s">
        <v>1066</v>
      </c>
    </row>
    <row r="27">
      <c r="B27" s="36" t="s">
        <v>994</v>
      </c>
      <c r="C27" s="27" t="n">
        <v>16</v>
      </c>
      <c r="D27" s="41" t="s">
        <v>1067</v>
      </c>
      <c r="E27" s="27" t="n">
        <v>13</v>
      </c>
      <c r="F27" s="41" t="s">
        <v>1068</v>
      </c>
      <c r="G27" s="27" t="n">
        <v>19</v>
      </c>
      <c r="H27" s="41" t="s">
        <v>1069</v>
      </c>
    </row>
    <row r="28">
      <c r="B28" s="36" t="s">
        <v>995</v>
      </c>
      <c r="C28" s="27" t="n">
        <v>16</v>
      </c>
      <c r="D28" s="41" t="s">
        <v>1070</v>
      </c>
      <c r="E28" s="27" t="n">
        <v>13</v>
      </c>
      <c r="F28" s="41" t="s">
        <v>1071</v>
      </c>
      <c r="G28" s="27" t="n">
        <v>19</v>
      </c>
      <c r="H28" s="41" t="s">
        <v>1072</v>
      </c>
    </row>
    <row r="29">
      <c r="B29" s="36" t="s">
        <v>996</v>
      </c>
      <c r="C29" s="27" t="n">
        <v>16</v>
      </c>
      <c r="D29" s="41" t="s">
        <v>1073</v>
      </c>
      <c r="E29" s="27" t="n">
        <v>13</v>
      </c>
      <c r="F29" s="41" t="s">
        <v>1074</v>
      </c>
      <c r="G29" s="27" t="n">
        <v>19</v>
      </c>
      <c r="H29" s="41" t="s">
        <v>1075</v>
      </c>
    </row>
    <row r="30">
      <c r="B30" s="36" t="s">
        <v>997</v>
      </c>
      <c r="C30" s="27" t="n">
        <v>16</v>
      </c>
      <c r="D30" s="41" t="s">
        <v>1076</v>
      </c>
      <c r="E30" s="27" t="n">
        <v>13</v>
      </c>
      <c r="F30" s="41" t="s">
        <v>1077</v>
      </c>
      <c r="G30" s="27" t="n">
        <v>19</v>
      </c>
      <c r="H30" s="41" t="s">
        <v>1078</v>
      </c>
    </row>
    <row r="31">
      <c r="B31" s="36" t="s">
        <v>998</v>
      </c>
      <c r="C31" s="27" t="n">
        <v>16</v>
      </c>
      <c r="D31" s="41" t="s">
        <v>1079</v>
      </c>
      <c r="E31" s="27" t="n">
        <v>13</v>
      </c>
      <c r="F31" s="41" t="s">
        <v>1080</v>
      </c>
      <c r="G31" s="27" t="n">
        <v>19</v>
      </c>
      <c r="H31" s="41" t="s">
        <v>1081</v>
      </c>
    </row>
    <row r="32">
      <c r="B32" s="36" t="s">
        <v>999</v>
      </c>
      <c r="C32" s="27" t="n">
        <v>16</v>
      </c>
      <c r="D32" s="41" t="s">
        <v>1082</v>
      </c>
      <c r="E32" s="27" t="n">
        <v>13</v>
      </c>
      <c r="F32" s="41" t="s">
        <v>1083</v>
      </c>
      <c r="G32" s="27" t="n">
        <v>19</v>
      </c>
      <c r="H32" s="41" t="s">
        <v>1084</v>
      </c>
    </row>
    <row r="33">
      <c r="B33" s="36" t="s">
        <v>1000</v>
      </c>
      <c r="C33" s="27" t="n">
        <v>16</v>
      </c>
      <c r="D33" s="41" t="s">
        <v>1085</v>
      </c>
      <c r="E33" s="27" t="n">
        <v>13</v>
      </c>
      <c r="F33" s="41" t="s">
        <v>1086</v>
      </c>
      <c r="G33" s="27" t="n">
        <v>19</v>
      </c>
      <c r="H33" s="41" t="s">
        <v>1087</v>
      </c>
    </row>
    <row r="34">
      <c r="B34" s="36" t="s">
        <v>1001</v>
      </c>
      <c r="C34" s="27" t="n">
        <v>16</v>
      </c>
      <c r="D34" s="41" t="s">
        <v>1088</v>
      </c>
      <c r="E34" s="27" t="n">
        <v>13</v>
      </c>
      <c r="F34" s="41" t="s">
        <v>1089</v>
      </c>
      <c r="G34" s="27" t="n">
        <v>19</v>
      </c>
      <c r="H34" s="41" t="s">
        <v>1090</v>
      </c>
    </row>
    <row r="35">
      <c r="B35" s="36" t="s">
        <v>1002</v>
      </c>
      <c r="C35" s="27" t="n">
        <v>21</v>
      </c>
      <c r="D35" s="41" t="s">
        <v>1091</v>
      </c>
      <c r="E35" s="27" t="n">
        <v>11</v>
      </c>
      <c r="F35" s="41" t="s">
        <v>1092</v>
      </c>
      <c r="G35" s="27" t="n">
        <v>17</v>
      </c>
      <c r="H35" s="41" t="s">
        <v>1093</v>
      </c>
    </row>
    <row r="36">
      <c r="B36" s="36" t="s">
        <v>1003</v>
      </c>
      <c r="C36" s="27" t="n">
        <v>21</v>
      </c>
      <c r="D36" s="41" t="s">
        <v>1094</v>
      </c>
      <c r="E36" s="27" t="n">
        <v>11</v>
      </c>
      <c r="F36" s="41" t="s">
        <v>1095</v>
      </c>
      <c r="G36" s="27" t="n">
        <v>17</v>
      </c>
      <c r="H36" s="41" t="s">
        <v>1096</v>
      </c>
    </row>
    <row r="38">
      <c r="B38" s="37" t="s">
        <v>1012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4" tint="0.39997558519241921"/>
  </sheetPr>
  <dimension ref="A1"/>
  <sheetViews>
    <sheetView showGridLines="0" topLeftCell="P1" workbookViewId="0">
      <selection activeCell="AA26" sqref="AA26"/>
    </sheetView>
  </sheetViews>
  <sheetFormatPr defaultRowHeight="15.0" baseColWidth="10"/>
  <cols>
    <col min="1" max="1" width="16.5703125" hidden="0" customWidth="1"/>
    <col min="2" max="2" width="20.42578125" hidden="0" customWidth="1"/>
    <col min="3" max="3" width="14.7109375" hidden="0" customWidth="1"/>
    <col min="4" max="4" width="16.7109375" hidden="0" customWidth="1"/>
    <col min="5" max="5" width="17.42578125" hidden="0" customWidth="1"/>
    <col min="6" max="6" width="16.28515625" hidden="0" customWidth="1"/>
    <col min="7" max="7" width="18" hidden="0" customWidth="1"/>
    <col min="8" max="8" width="18.85546875" hidden="0" customWidth="1"/>
    <col min="9" max="9" width="13.7109375" hidden="0" customWidth="1"/>
    <col min="10" max="10" width="16.5703125" hidden="0" customWidth="1"/>
    <col min="11" max="11" width="16.5703125" hidden="0" customWidth="1"/>
    <col min="12" max="12" width="11.140625" hidden="0" customWidth="1"/>
    <col min="13" max="13" width="14.42578125" hidden="0" customWidth="1"/>
    <col min="14" max="14" width="19" hidden="0" customWidth="1"/>
    <col min="15" max="15" width="22.42578125" hidden="0" customWidth="1"/>
    <col min="17" max="17" width="22.28515625" hidden="0" customWidth="1"/>
    <col min="18" max="18" width="21" hidden="0" customWidth="1"/>
    <col min="19" max="19" width="3" hidden="0" customWidth="1"/>
    <col min="20" max="20" width="15" hidden="0" customWidth="1"/>
    <col min="21" max="21" width="15" hidden="0" customWidth="1"/>
    <col min="22" max="22" width="3" hidden="0" customWidth="1"/>
    <col min="23" max="23" width="15" hidden="0" customWidth="1"/>
    <col min="24" max="24" width="15" hidden="0" customWidth="1"/>
    <col min="25" max="25" width="3" hidden="0" customWidth="1"/>
    <col min="26" max="26" width="15" hidden="0" customWidth="1"/>
    <col min="27" max="27" width="15" hidden="0" customWidth="1"/>
    <col min="28" max="28" width="11.140625" hidden="0" customWidth="1"/>
    <col min="29" max="29" width="14.42578125" hidden="0" customWidth="1"/>
    <col min="30" max="30" width="17" hidden="0" customWidth="1"/>
    <col min="31" max="31" width="17" hidden="0" customWidth="1"/>
  </cols>
  <sheetData>
    <row r="1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472</v>
      </c>
      <c r="J1" t="s">
        <v>473</v>
      </c>
      <c r="K1" t="s">
        <v>474</v>
      </c>
      <c r="L1" s="27" t="s">
        <v>475</v>
      </c>
      <c r="M1" s="27" t="s">
        <v>476</v>
      </c>
      <c r="N1" s="27" t="s">
        <v>477</v>
      </c>
      <c r="O1" s="27" t="s">
        <v>478</v>
      </c>
    </row>
    <row r="2">
      <c r="A2" t="s">
        <v>479</v>
      </c>
      <c r="B2" t="s">
        <v>480</v>
      </c>
      <c r="C2" t="n">
        <v>13</v>
      </c>
      <c r="D2" t="s">
        <v>481</v>
      </c>
      <c r="E2" t="s">
        <v>482</v>
      </c>
      <c r="F2" t="n">
        <v>9</v>
      </c>
      <c r="G2" t="s">
        <v>483</v>
      </c>
      <c r="H2" t="s">
        <v>484</v>
      </c>
      <c r="I2" t="n">
        <v>13</v>
      </c>
      <c r="J2" t="s">
        <v>485</v>
      </c>
      <c r="K2" t="s">
        <v>486</v>
      </c>
      <c r="L2" s="33" t="n">
        <v>6.3E-2</v>
      </c>
      <c r="M2" s="33" t="n">
        <v>6.3E-2</v>
      </c>
      <c r="N2" s="33" t="n">
        <v>0.75</v>
      </c>
      <c r="O2" s="33" t="n">
        <v>0.75</v>
      </c>
      <c r="R2" s="44"/>
      <c r="S2" s="52" t="s">
        <v>802</v>
      </c>
      <c r="T2" s="52"/>
      <c r="U2" s="52"/>
      <c r="V2" s="52" t="s">
        <v>677</v>
      </c>
      <c r="W2" s="52"/>
      <c r="X2" s="52"/>
      <c r="Y2" s="52" t="s">
        <v>803</v>
      </c>
      <c r="Z2" s="52"/>
      <c r="AA2" s="52"/>
      <c r="AB2" s="52" t="s">
        <v>961</v>
      </c>
      <c r="AC2" s="52"/>
      <c r="AD2" s="52" t="s">
        <v>962</v>
      </c>
      <c r="AE2" s="52"/>
    </row>
    <row r="3" ht="15.75" customHeight="1">
      <c r="A3" t="s">
        <v>487</v>
      </c>
      <c r="B3" t="s">
        <v>488</v>
      </c>
      <c r="C3" t="n">
        <v>21</v>
      </c>
      <c r="D3" t="s">
        <v>489</v>
      </c>
      <c r="E3" t="s">
        <v>490</v>
      </c>
      <c r="F3" t="n">
        <v>13</v>
      </c>
      <c r="G3" t="s">
        <v>491</v>
      </c>
      <c r="H3" t="s">
        <v>492</v>
      </c>
      <c r="I3" t="n">
        <v>19</v>
      </c>
      <c r="J3" t="s">
        <v>489</v>
      </c>
      <c r="K3" t="s">
        <v>493</v>
      </c>
      <c r="L3" s="33" t="n">
        <v>0.63600000000000001</v>
      </c>
      <c r="M3" s="33" t="n">
        <v>0.66500000000000004</v>
      </c>
      <c r="N3" s="33" t="n">
        <v>0.47399999999999998</v>
      </c>
      <c r="O3" s="33" t="n">
        <v>0.91400000000000003</v>
      </c>
      <c r="R3" s="48" t="s">
        <v>188</v>
      </c>
      <c r="S3" s="30" t="s">
        <v>175</v>
      </c>
      <c r="T3" s="30" t="s">
        <v>805</v>
      </c>
      <c r="U3" s="30" t="s">
        <v>804</v>
      </c>
      <c r="V3" s="30" t="s">
        <v>175</v>
      </c>
      <c r="W3" s="30" t="s">
        <v>805</v>
      </c>
      <c r="X3" s="30" t="s">
        <v>804</v>
      </c>
      <c r="Y3" s="30" t="s">
        <v>175</v>
      </c>
      <c r="Z3" s="30" t="s">
        <v>805</v>
      </c>
      <c r="AA3" s="30" t="s">
        <v>804</v>
      </c>
      <c r="AB3" s="30" t="s">
        <v>963</v>
      </c>
      <c r="AC3" s="30" t="s">
        <v>280</v>
      </c>
      <c r="AD3" s="30" t="s">
        <v>963</v>
      </c>
      <c r="AE3" s="30" t="s">
        <v>280</v>
      </c>
    </row>
    <row r="4">
      <c r="A4" t="s">
        <v>487</v>
      </c>
      <c r="B4" t="s">
        <v>494</v>
      </c>
      <c r="C4" t="n">
        <v>21</v>
      </c>
      <c r="D4" t="s">
        <v>495</v>
      </c>
      <c r="E4" t="s">
        <v>496</v>
      </c>
      <c r="F4" t="n">
        <v>13</v>
      </c>
      <c r="G4" t="s">
        <v>497</v>
      </c>
      <c r="H4" t="s">
        <v>498</v>
      </c>
      <c r="I4" t="n">
        <v>19</v>
      </c>
      <c r="J4" t="s">
        <v>499</v>
      </c>
      <c r="K4" t="s">
        <v>500</v>
      </c>
      <c r="L4" s="33" t="n">
        <v>0.63700000000000001</v>
      </c>
      <c r="M4" s="33" t="n">
        <v>0.66500000000000004</v>
      </c>
      <c r="N4" s="33" t="n">
        <v>0.91400000000000003</v>
      </c>
      <c r="O4" s="33" t="n">
        <v>0.91400000000000003</v>
      </c>
      <c r="Q4" s="43"/>
      <c r="R4" s="45" t="s">
        <v>487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>
      <c r="A5" t="s">
        <v>487</v>
      </c>
      <c r="B5" t="s">
        <v>501</v>
      </c>
      <c r="C5" t="n">
        <v>21</v>
      </c>
      <c r="D5" t="s">
        <v>502</v>
      </c>
      <c r="E5" t="s">
        <v>503</v>
      </c>
      <c r="F5" t="n">
        <v>13</v>
      </c>
      <c r="G5" t="s">
        <v>504</v>
      </c>
      <c r="H5" t="s">
        <v>505</v>
      </c>
      <c r="I5" t="n">
        <v>19</v>
      </c>
      <c r="J5" t="s">
        <v>506</v>
      </c>
      <c r="K5" t="s">
        <v>507</v>
      </c>
      <c r="L5" s="33" t="n">
        <v>4.8000000000000001E-2</v>
      </c>
      <c r="M5" s="33" t="n">
        <v>0.14299999999999999</v>
      </c>
      <c r="N5" s="33" t="n">
        <v>0.69799999999999995</v>
      </c>
      <c r="O5" s="33" t="n">
        <v>0.91400000000000003</v>
      </c>
      <c r="Q5" s="43"/>
      <c r="R5" s="28" t="s">
        <v>488</v>
      </c>
      <c r="S5" s="27" t="n">
        <v>21</v>
      </c>
      <c r="T5" s="27" t="s">
        <v>813</v>
      </c>
      <c r="U5" s="27" t="s">
        <v>814</v>
      </c>
      <c r="V5" s="27" t="n">
        <v>13</v>
      </c>
      <c r="W5" s="27" t="s">
        <v>815</v>
      </c>
      <c r="X5" s="27" t="s">
        <v>816</v>
      </c>
      <c r="Y5" s="27" t="n">
        <v>19</v>
      </c>
      <c r="Z5" s="27" t="s">
        <v>813</v>
      </c>
      <c r="AA5" s="27" t="s">
        <v>817</v>
      </c>
      <c r="AB5" s="33" t="n">
        <v>0.63600000000000001</v>
      </c>
      <c r="AC5" s="33" t="n">
        <v>0.66500000000000004</v>
      </c>
      <c r="AD5" s="33" t="n">
        <v>0.47399999999999998</v>
      </c>
      <c r="AE5" s="33" t="n">
        <v>0.91400000000000003</v>
      </c>
    </row>
    <row r="6">
      <c r="A6" t="s">
        <v>487</v>
      </c>
      <c r="B6" t="s">
        <v>508</v>
      </c>
      <c r="C6" t="n">
        <v>21</v>
      </c>
      <c r="D6" t="s">
        <v>509</v>
      </c>
      <c r="E6" t="s">
        <v>510</v>
      </c>
      <c r="F6" t="n">
        <v>13</v>
      </c>
      <c r="G6" t="s">
        <v>511</v>
      </c>
      <c r="H6" t="s">
        <v>512</v>
      </c>
      <c r="I6" t="n">
        <v>19</v>
      </c>
      <c r="J6" t="s">
        <v>513</v>
      </c>
      <c r="K6" t="s">
        <v>514</v>
      </c>
      <c r="L6" s="33" t="n">
        <v>4.8000000000000001E-2</v>
      </c>
      <c r="M6" s="33" t="n">
        <v>0.14299999999999999</v>
      </c>
      <c r="N6" s="33" t="n">
        <v>0.69799999999999995</v>
      </c>
      <c r="O6" s="33" t="n">
        <v>0.91400000000000003</v>
      </c>
      <c r="Q6" s="43"/>
      <c r="R6" s="28" t="s">
        <v>494</v>
      </c>
      <c r="S6" s="27" t="n">
        <v>21</v>
      </c>
      <c r="T6" s="27" t="s">
        <v>818</v>
      </c>
      <c r="U6" s="27" t="s">
        <v>819</v>
      </c>
      <c r="V6" s="27" t="n">
        <v>13</v>
      </c>
      <c r="W6" s="27" t="s">
        <v>820</v>
      </c>
      <c r="X6" s="27" t="s">
        <v>821</v>
      </c>
      <c r="Y6" s="27" t="n">
        <v>19</v>
      </c>
      <c r="Z6" s="27" t="s">
        <v>822</v>
      </c>
      <c r="AA6" s="27" t="s">
        <v>823</v>
      </c>
      <c r="AB6" s="33" t="n">
        <v>0.63700000000000001</v>
      </c>
      <c r="AC6" s="33" t="n">
        <v>0.66500000000000004</v>
      </c>
      <c r="AD6" s="33" t="n">
        <v>0.91400000000000003</v>
      </c>
      <c r="AE6" s="33" t="n">
        <v>0.91400000000000003</v>
      </c>
      <c r="AI6" s="26"/>
    </row>
    <row r="7">
      <c r="A7" t="s">
        <v>487</v>
      </c>
      <c r="B7" t="s">
        <v>515</v>
      </c>
      <c r="C7" t="n">
        <v>21</v>
      </c>
      <c r="D7" t="s">
        <v>516</v>
      </c>
      <c r="E7" t="s">
        <v>517</v>
      </c>
      <c r="F7" t="n">
        <v>13</v>
      </c>
      <c r="G7" t="s">
        <v>518</v>
      </c>
      <c r="H7" t="s">
        <v>519</v>
      </c>
      <c r="I7" t="n">
        <v>19</v>
      </c>
      <c r="J7" t="s">
        <v>520</v>
      </c>
      <c r="K7" t="s">
        <v>521</v>
      </c>
      <c r="L7" s="33" t="n">
        <v>0.42299999999999999</v>
      </c>
      <c r="M7" s="33" t="n">
        <v>0.66500000000000004</v>
      </c>
      <c r="N7" s="33" t="n">
        <v>0.77500000000000002</v>
      </c>
      <c r="O7" s="33" t="n">
        <v>0.91400000000000003</v>
      </c>
      <c r="Q7" s="43"/>
      <c r="R7" s="28" t="s">
        <v>508</v>
      </c>
      <c r="S7" s="27" t="n">
        <v>21</v>
      </c>
      <c r="T7" s="27" t="s">
        <v>824</v>
      </c>
      <c r="U7" s="27" t="s">
        <v>825</v>
      </c>
      <c r="V7" s="27" t="n">
        <v>13</v>
      </c>
      <c r="W7" s="27" t="s">
        <v>826</v>
      </c>
      <c r="X7" s="27" t="s">
        <v>827</v>
      </c>
      <c r="Y7" s="27" t="n">
        <v>19</v>
      </c>
      <c r="Z7" s="27" t="s">
        <v>828</v>
      </c>
      <c r="AA7" s="27" t="s">
        <v>829</v>
      </c>
      <c r="AB7" s="33" t="n">
        <v>4.8000000000000001E-2</v>
      </c>
      <c r="AC7" s="33" t="n">
        <v>0.14299999999999999</v>
      </c>
      <c r="AD7" s="33" t="n">
        <v>0.69799999999999995</v>
      </c>
      <c r="AE7" s="33" t="n">
        <v>0.91400000000000003</v>
      </c>
    </row>
    <row r="8">
      <c r="A8" t="s">
        <v>487</v>
      </c>
      <c r="B8" t="s">
        <v>522</v>
      </c>
      <c r="C8" t="n">
        <v>21</v>
      </c>
      <c r="D8" t="s">
        <v>523</v>
      </c>
      <c r="E8" t="s">
        <v>524</v>
      </c>
      <c r="F8" t="n">
        <v>13</v>
      </c>
      <c r="G8" t="s">
        <v>525</v>
      </c>
      <c r="H8" t="s">
        <v>526</v>
      </c>
      <c r="I8" t="n">
        <v>19</v>
      </c>
      <c r="J8" t="s">
        <v>527</v>
      </c>
      <c r="K8" t="s">
        <v>528</v>
      </c>
      <c r="L8" s="33" t="n">
        <v>0.66500000000000004</v>
      </c>
      <c r="M8" s="33" t="n">
        <v>0.66500000000000004</v>
      </c>
      <c r="N8" s="33" t="n">
        <v>0.48899999999999999</v>
      </c>
      <c r="O8" s="33" t="n">
        <v>0.91400000000000003</v>
      </c>
      <c r="R8" s="28" t="s">
        <v>515</v>
      </c>
      <c r="S8" s="27" t="n">
        <v>21</v>
      </c>
      <c r="T8" s="27" t="s">
        <v>830</v>
      </c>
      <c r="U8" s="27" t="s">
        <v>831</v>
      </c>
      <c r="V8" s="27" t="n">
        <v>13</v>
      </c>
      <c r="W8" s="27" t="s">
        <v>832</v>
      </c>
      <c r="X8" s="27" t="s">
        <v>833</v>
      </c>
      <c r="Y8" s="27" t="n">
        <v>19</v>
      </c>
      <c r="Z8" s="27" t="s">
        <v>834</v>
      </c>
      <c r="AA8" s="27" t="s">
        <v>835</v>
      </c>
      <c r="AB8" s="33" t="n">
        <v>0.42299999999999999</v>
      </c>
      <c r="AC8" s="33" t="n">
        <v>0.66500000000000004</v>
      </c>
      <c r="AD8" s="33" t="n">
        <v>0.77500000000000002</v>
      </c>
      <c r="AE8" s="33" t="n">
        <v>0.91400000000000003</v>
      </c>
    </row>
    <row r="9">
      <c r="A9" t="s">
        <v>529</v>
      </c>
      <c r="B9" t="s">
        <v>530</v>
      </c>
      <c r="C9" t="n">
        <v>20</v>
      </c>
      <c r="D9" t="s">
        <v>531</v>
      </c>
      <c r="E9" t="s">
        <v>532</v>
      </c>
      <c r="F9" t="n">
        <v>12</v>
      </c>
      <c r="G9" t="s">
        <v>533</v>
      </c>
      <c r="H9" t="s">
        <v>534</v>
      </c>
      <c r="I9" t="n">
        <v>19</v>
      </c>
      <c r="J9" t="s">
        <v>535</v>
      </c>
      <c r="K9" t="s">
        <v>536</v>
      </c>
      <c r="L9" s="33" t="n">
        <v>0.75800000000000001</v>
      </c>
      <c r="M9" s="33" t="n">
        <v>0.75800000000000001</v>
      </c>
      <c r="N9" s="33" t="n">
        <v>0.161</v>
      </c>
      <c r="O9" s="33" t="n">
        <v>0.443</v>
      </c>
      <c r="R9" s="28" t="s">
        <v>522</v>
      </c>
      <c r="S9" s="27" t="n">
        <v>21</v>
      </c>
      <c r="T9" s="27" t="s">
        <v>836</v>
      </c>
      <c r="U9" s="27" t="s">
        <v>837</v>
      </c>
      <c r="V9" s="27" t="n">
        <v>13</v>
      </c>
      <c r="W9" s="27" t="s">
        <v>838</v>
      </c>
      <c r="X9" s="27" t="s">
        <v>839</v>
      </c>
      <c r="Y9" s="27" t="n">
        <v>19</v>
      </c>
      <c r="Z9" s="27" t="s">
        <v>840</v>
      </c>
      <c r="AA9" s="27" t="s">
        <v>841</v>
      </c>
      <c r="AB9" s="33" t="n">
        <v>0.66500000000000004</v>
      </c>
      <c r="AC9" s="33" t="n">
        <v>0.66500000000000004</v>
      </c>
      <c r="AD9" s="33" t="n">
        <v>0.48899999999999999</v>
      </c>
      <c r="AE9" s="33" t="n">
        <v>0.91400000000000003</v>
      </c>
    </row>
    <row r="10">
      <c r="A10" t="s">
        <v>529</v>
      </c>
      <c r="B10" t="s">
        <v>537</v>
      </c>
      <c r="C10" t="n">
        <v>20</v>
      </c>
      <c r="D10" t="s">
        <v>538</v>
      </c>
      <c r="E10" t="s">
        <v>539</v>
      </c>
      <c r="F10" t="n">
        <v>13</v>
      </c>
      <c r="G10" t="s">
        <v>540</v>
      </c>
      <c r="H10" t="s">
        <v>541</v>
      </c>
      <c r="I10" t="n">
        <v>19</v>
      </c>
      <c r="J10" t="s">
        <v>542</v>
      </c>
      <c r="K10" t="s">
        <v>543</v>
      </c>
      <c r="L10" s="33" t="n">
        <v>0.66400000000000003</v>
      </c>
      <c r="M10" s="33" t="n">
        <v>0.75800000000000001</v>
      </c>
      <c r="N10" s="33" t="n">
        <v>0.94099999999999995</v>
      </c>
      <c r="O10" s="33" t="n">
        <v>0.94099999999999995</v>
      </c>
      <c r="Q10" s="43"/>
      <c r="R10" s="47" t="s">
        <v>167</v>
      </c>
      <c r="S10" s="46"/>
      <c r="T10" s="46"/>
      <c r="U10" s="46"/>
      <c r="V10" s="46"/>
      <c r="W10" s="46"/>
      <c r="X10" s="46"/>
      <c r="Y10" s="46"/>
      <c r="Z10" s="46"/>
      <c r="AA10" s="46"/>
      <c r="AB10" s="49"/>
      <c r="AC10" s="49"/>
      <c r="AD10" s="49"/>
      <c r="AE10" s="49"/>
    </row>
    <row r="11">
      <c r="A11" t="s">
        <v>529</v>
      </c>
      <c r="B11" t="s">
        <v>544</v>
      </c>
      <c r="C11" t="n">
        <v>20</v>
      </c>
      <c r="D11" t="s">
        <v>545</v>
      </c>
      <c r="E11" t="s">
        <v>546</v>
      </c>
      <c r="F11" t="n">
        <v>13</v>
      </c>
      <c r="G11" t="s">
        <v>547</v>
      </c>
      <c r="H11" t="s">
        <v>548</v>
      </c>
      <c r="I11" t="n">
        <v>19</v>
      </c>
      <c r="J11" t="s">
        <v>549</v>
      </c>
      <c r="K11" t="s">
        <v>550</v>
      </c>
      <c r="L11" s="33" t="n">
        <v>0.18099999999999999</v>
      </c>
      <c r="M11" s="33" t="n">
        <v>0.313</v>
      </c>
      <c r="N11" s="33" t="n">
        <v>0.48599999999999999</v>
      </c>
      <c r="O11" s="33" t="n">
        <v>0.69299999999999995</v>
      </c>
      <c r="Q11" t="s">
        <v>328</v>
      </c>
      <c r="R11" s="28" t="s">
        <v>480</v>
      </c>
      <c r="S11" s="27" t="n">
        <v>13</v>
      </c>
      <c r="T11" s="27" t="s">
        <v>807</v>
      </c>
      <c r="U11" s="27" t="s">
        <v>808</v>
      </c>
      <c r="V11" s="27" t="n">
        <v>9</v>
      </c>
      <c r="W11" s="27" t="s">
        <v>809</v>
      </c>
      <c r="X11" s="27" t="s">
        <v>810</v>
      </c>
      <c r="Y11" s="27" t="n">
        <v>13</v>
      </c>
      <c r="Z11" s="27" t="s">
        <v>811</v>
      </c>
      <c r="AA11" s="27" t="s">
        <v>812</v>
      </c>
      <c r="AB11" s="33" t="n">
        <v>6.3E-2</v>
      </c>
      <c r="AC11" s="33" t="n">
        <v>6.3E-2</v>
      </c>
      <c r="AD11" s="33" t="n">
        <v>0.75</v>
      </c>
      <c r="AE11" s="33" t="n">
        <v>0.75</v>
      </c>
      <c r="AF11" t="s">
        <v>390</v>
      </c>
    </row>
    <row r="12">
      <c r="A12" t="s">
        <v>529</v>
      </c>
      <c r="B12" t="s">
        <v>551</v>
      </c>
      <c r="C12" t="n">
        <v>20</v>
      </c>
      <c r="D12" t="s">
        <v>552</v>
      </c>
      <c r="E12" t="s">
        <v>553</v>
      </c>
      <c r="F12" t="n">
        <v>12</v>
      </c>
      <c r="G12" t="s">
        <v>554</v>
      </c>
      <c r="H12" t="s">
        <v>555</v>
      </c>
      <c r="I12" t="n">
        <v>16</v>
      </c>
      <c r="J12" t="s">
        <v>556</v>
      </c>
      <c r="K12" t="s">
        <v>557</v>
      </c>
      <c r="L12" s="33" t="n">
        <v>0.752</v>
      </c>
      <c r="M12" s="33" t="n">
        <v>0.75800000000000001</v>
      </c>
      <c r="N12" s="33" t="n">
        <v>0.184</v>
      </c>
      <c r="O12" s="33" t="n">
        <v>0.443</v>
      </c>
      <c r="R12" s="45" t="s">
        <v>529</v>
      </c>
      <c r="S12" s="46"/>
      <c r="T12" s="46"/>
      <c r="U12" s="46"/>
      <c r="V12" s="46"/>
      <c r="W12" s="46"/>
      <c r="X12" s="46"/>
      <c r="Y12" s="46"/>
      <c r="Z12" s="46"/>
      <c r="AA12" s="46"/>
      <c r="AB12" s="49"/>
      <c r="AC12" s="49"/>
      <c r="AD12" s="49"/>
      <c r="AE12" s="49"/>
    </row>
    <row r="13">
      <c r="A13" t="s">
        <v>529</v>
      </c>
      <c r="B13" t="s">
        <v>558</v>
      </c>
      <c r="C13" t="n">
        <v>21</v>
      </c>
      <c r="D13" t="s">
        <v>559</v>
      </c>
      <c r="E13" t="s">
        <v>560</v>
      </c>
      <c r="F13" t="n">
        <v>13</v>
      </c>
      <c r="G13" t="s">
        <v>561</v>
      </c>
      <c r="H13" t="s">
        <v>562</v>
      </c>
      <c r="I13" t="n">
        <v>19</v>
      </c>
      <c r="J13" t="s">
        <v>563</v>
      </c>
      <c r="K13" t="s">
        <v>564</v>
      </c>
      <c r="L13" s="33" t="n">
        <v>0.60699999999999998</v>
      </c>
      <c r="M13" s="33" t="n">
        <v>0.75800000000000001</v>
      </c>
      <c r="N13" s="33" t="n">
        <v>0.46899999999999997</v>
      </c>
      <c r="O13" s="33" t="n">
        <v>0.69299999999999995</v>
      </c>
      <c r="Q13" t="s">
        <v>332</v>
      </c>
      <c r="R13" s="28" t="s">
        <v>530</v>
      </c>
      <c r="S13" s="27" t="n">
        <v>20</v>
      </c>
      <c r="T13" s="27" t="s">
        <v>842</v>
      </c>
      <c r="U13" s="27" t="s">
        <v>843</v>
      </c>
      <c r="V13" s="27" t="n">
        <v>12</v>
      </c>
      <c r="W13" s="27" t="s">
        <v>844</v>
      </c>
      <c r="X13" s="27" t="s">
        <v>845</v>
      </c>
      <c r="Y13" s="27" t="n">
        <v>19</v>
      </c>
      <c r="Z13" s="27" t="s">
        <v>846</v>
      </c>
      <c r="AA13" s="27" t="s">
        <v>847</v>
      </c>
      <c r="AB13" s="33" t="n">
        <v>0.75800000000000001</v>
      </c>
      <c r="AC13" s="33" t="n">
        <v>0.75800000000000001</v>
      </c>
      <c r="AD13" s="33" t="n">
        <v>0.161</v>
      </c>
      <c r="AE13" s="33" t="n">
        <v>0.443</v>
      </c>
      <c r="AF13" t="s">
        <v>393</v>
      </c>
    </row>
    <row r="14">
      <c r="A14" t="s">
        <v>529</v>
      </c>
      <c r="B14" t="s">
        <v>565</v>
      </c>
      <c r="C14" t="n">
        <v>20</v>
      </c>
      <c r="D14" t="s">
        <v>566</v>
      </c>
      <c r="E14" t="s">
        <v>567</v>
      </c>
      <c r="F14" t="n">
        <v>13</v>
      </c>
      <c r="G14" t="s">
        <v>568</v>
      </c>
      <c r="H14" t="s">
        <v>569</v>
      </c>
      <c r="I14" t="n">
        <v>19</v>
      </c>
      <c r="J14" t="s">
        <v>570</v>
      </c>
      <c r="K14" t="s">
        <v>571</v>
      </c>
      <c r="L14" s="33" t="n">
        <v>3.9E-2</v>
      </c>
      <c r="M14" s="33" t="n">
        <v>0.16</v>
      </c>
      <c r="N14" s="33" t="n">
        <v>0.3</v>
      </c>
      <c r="O14" s="33" t="n">
        <v>0.59899999999999998</v>
      </c>
      <c r="Q14" t="s">
        <v>335</v>
      </c>
      <c r="R14" s="28" t="s">
        <v>537</v>
      </c>
      <c r="S14" s="27" t="n">
        <v>20</v>
      </c>
      <c r="T14" s="27" t="s">
        <v>848</v>
      </c>
      <c r="U14" s="27" t="s">
        <v>849</v>
      </c>
      <c r="V14" s="27" t="n">
        <v>13</v>
      </c>
      <c r="W14" s="27" t="s">
        <v>850</v>
      </c>
      <c r="X14" s="27" t="s">
        <v>851</v>
      </c>
      <c r="Y14" s="27" t="n">
        <v>19</v>
      </c>
      <c r="Z14" s="27" t="s">
        <v>852</v>
      </c>
      <c r="AA14" s="27" t="s">
        <v>853</v>
      </c>
      <c r="AB14" s="33" t="n">
        <v>0.66400000000000003</v>
      </c>
      <c r="AC14" s="33" t="n">
        <v>0.75800000000000001</v>
      </c>
      <c r="AD14" s="33" t="n">
        <v>0.94099999999999995</v>
      </c>
      <c r="AE14" s="33" t="n">
        <v>0.94099999999999995</v>
      </c>
      <c r="AF14" t="s">
        <v>396</v>
      </c>
    </row>
    <row r="15">
      <c r="A15" t="s">
        <v>529</v>
      </c>
      <c r="B15" t="s">
        <v>572</v>
      </c>
      <c r="C15" t="n">
        <v>20</v>
      </c>
      <c r="D15" t="s">
        <v>573</v>
      </c>
      <c r="E15" t="s">
        <v>574</v>
      </c>
      <c r="F15" t="n">
        <v>13</v>
      </c>
      <c r="G15" t="s">
        <v>575</v>
      </c>
      <c r="H15" t="s">
        <v>576</v>
      </c>
      <c r="I15" t="n">
        <v>19</v>
      </c>
      <c r="J15" t="s">
        <v>577</v>
      </c>
      <c r="K15" t="s">
        <v>578</v>
      </c>
      <c r="L15" s="33" t="n">
        <v>3.1E-2</v>
      </c>
      <c r="M15" s="33" t="n">
        <v>0.16</v>
      </c>
      <c r="N15" s="33" t="n">
        <v>0.57799999999999996</v>
      </c>
      <c r="O15" s="33" t="n">
        <v>0.69299999999999995</v>
      </c>
      <c r="Q15" t="s">
        <v>337</v>
      </c>
      <c r="R15" s="28" t="s">
        <v>544</v>
      </c>
      <c r="S15" s="27" t="n">
        <v>20</v>
      </c>
      <c r="T15" s="27" t="s">
        <v>854</v>
      </c>
      <c r="U15" s="27" t="s">
        <v>855</v>
      </c>
      <c r="V15" s="27" t="n">
        <v>13</v>
      </c>
      <c r="W15" s="27" t="s">
        <v>856</v>
      </c>
      <c r="X15" s="27" t="s">
        <v>857</v>
      </c>
      <c r="Y15" s="27" t="n">
        <v>19</v>
      </c>
      <c r="Z15" s="27" t="s">
        <v>858</v>
      </c>
      <c r="AA15" s="27" t="s">
        <v>859</v>
      </c>
      <c r="AB15" s="33" t="n">
        <v>0.18099999999999999</v>
      </c>
      <c r="AC15" s="33" t="n">
        <v>0.313</v>
      </c>
      <c r="AD15" s="33" t="n">
        <v>0.48599999999999999</v>
      </c>
      <c r="AE15" s="33" t="n">
        <v>0.69299999999999995</v>
      </c>
      <c r="AF15" t="s">
        <v>399</v>
      </c>
    </row>
    <row r="16">
      <c r="A16" t="s">
        <v>529</v>
      </c>
      <c r="B16" t="s">
        <v>579</v>
      </c>
      <c r="C16" t="n">
        <v>21</v>
      </c>
      <c r="D16" t="s">
        <v>580</v>
      </c>
      <c r="E16" t="s">
        <v>580</v>
      </c>
      <c r="F16" t="n">
        <v>13</v>
      </c>
      <c r="G16" t="s">
        <v>580</v>
      </c>
      <c r="H16" t="s">
        <v>580</v>
      </c>
      <c r="I16" t="n">
        <v>19</v>
      </c>
      <c r="J16" t="s">
        <v>580</v>
      </c>
      <c r="K16" t="s">
        <v>580</v>
      </c>
      <c r="L16" s="33" t="n">
        <v>0.192</v>
      </c>
      <c r="M16" s="33" t="n">
        <v>0.313</v>
      </c>
      <c r="N16" s="33" t="n">
        <v>3.6999999999999998E-2</v>
      </c>
      <c r="O16" s="33" t="n">
        <v>0.443</v>
      </c>
      <c r="Q16" t="s">
        <v>340</v>
      </c>
      <c r="R16" s="28" t="s">
        <v>551</v>
      </c>
      <c r="S16" s="27" t="n">
        <v>20</v>
      </c>
      <c r="T16" s="27" t="s">
        <v>860</v>
      </c>
      <c r="U16" s="27" t="s">
        <v>861</v>
      </c>
      <c r="V16" s="27" t="n">
        <v>12</v>
      </c>
      <c r="W16" s="27" t="s">
        <v>862</v>
      </c>
      <c r="X16" s="27" t="s">
        <v>863</v>
      </c>
      <c r="Y16" s="27" t="n">
        <v>16</v>
      </c>
      <c r="Z16" s="27" t="s">
        <v>864</v>
      </c>
      <c r="AA16" s="27" t="s">
        <v>865</v>
      </c>
      <c r="AB16" s="33" t="n">
        <v>0.752</v>
      </c>
      <c r="AC16" s="33" t="n">
        <v>0.75800000000000001</v>
      </c>
      <c r="AD16" s="33" t="n">
        <v>0.184</v>
      </c>
      <c r="AE16" s="33" t="n">
        <v>0.443</v>
      </c>
      <c r="AF16" t="s">
        <v>402</v>
      </c>
    </row>
    <row r="17">
      <c r="A17" t="s">
        <v>529</v>
      </c>
      <c r="B17" t="s">
        <v>581</v>
      </c>
      <c r="C17" t="n">
        <v>20</v>
      </c>
      <c r="D17" t="s">
        <v>582</v>
      </c>
      <c r="E17" t="s">
        <v>583</v>
      </c>
      <c r="F17" t="n">
        <v>13</v>
      </c>
      <c r="G17" t="s">
        <v>584</v>
      </c>
      <c r="H17" t="s">
        <v>585</v>
      </c>
      <c r="I17" t="n">
        <v>19</v>
      </c>
      <c r="J17" t="s">
        <v>586</v>
      </c>
      <c r="K17" t="s">
        <v>587</v>
      </c>
      <c r="L17" s="33" t="n">
        <v>0.20899999999999999</v>
      </c>
      <c r="M17" s="33" t="n">
        <v>0.313</v>
      </c>
      <c r="N17" s="33" t="n">
        <v>0.89400000000000002</v>
      </c>
      <c r="O17" s="33" t="n">
        <v>0.94099999999999995</v>
      </c>
      <c r="Q17" t="s">
        <v>342</v>
      </c>
      <c r="R17" s="28" t="s">
        <v>558</v>
      </c>
      <c r="S17" s="27" t="n">
        <v>21</v>
      </c>
      <c r="T17" s="27" t="s">
        <v>866</v>
      </c>
      <c r="U17" s="27" t="s">
        <v>867</v>
      </c>
      <c r="V17" s="27" t="n">
        <v>13</v>
      </c>
      <c r="W17" s="27" t="s">
        <v>868</v>
      </c>
      <c r="X17" s="27" t="s">
        <v>869</v>
      </c>
      <c r="Y17" s="27" t="n">
        <v>19</v>
      </c>
      <c r="Z17" s="27" t="s">
        <v>870</v>
      </c>
      <c r="AA17" s="27" t="s">
        <v>871</v>
      </c>
      <c r="AB17" s="33" t="n">
        <v>0.60699999999999998</v>
      </c>
      <c r="AC17" s="33" t="n">
        <v>0.75800000000000001</v>
      </c>
      <c r="AD17" s="33" t="n">
        <v>0.46899999999999997</v>
      </c>
      <c r="AE17" s="33" t="n">
        <v>0.69299999999999995</v>
      </c>
      <c r="AF17" t="s">
        <v>405</v>
      </c>
    </row>
    <row r="18">
      <c r="A18" t="s">
        <v>529</v>
      </c>
      <c r="B18" t="s">
        <v>588</v>
      </c>
      <c r="C18" t="n">
        <v>21</v>
      </c>
      <c r="D18" t="s">
        <v>589</v>
      </c>
      <c r="E18" t="s">
        <v>590</v>
      </c>
      <c r="F18" t="n">
        <v>13</v>
      </c>
      <c r="G18" t="s">
        <v>591</v>
      </c>
      <c r="H18" t="s">
        <v>592</v>
      </c>
      <c r="I18" t="n">
        <v>19</v>
      </c>
      <c r="J18" t="s">
        <v>593</v>
      </c>
      <c r="K18" t="s">
        <v>594</v>
      </c>
      <c r="L18" s="33" t="n">
        <v>4.1000000000000002E-2</v>
      </c>
      <c r="M18" s="33" t="n">
        <v>0.16</v>
      </c>
      <c r="N18" s="33" t="n">
        <v>0.52100000000000002</v>
      </c>
      <c r="O18" s="33" t="n">
        <v>0.69299999999999995</v>
      </c>
      <c r="Q18" t="s">
        <v>344</v>
      </c>
      <c r="R18" s="28" t="s">
        <v>565</v>
      </c>
      <c r="S18" s="27" t="n">
        <v>20</v>
      </c>
      <c r="T18" s="27" t="s">
        <v>872</v>
      </c>
      <c r="U18" s="27" t="s">
        <v>873</v>
      </c>
      <c r="V18" s="27" t="n">
        <v>13</v>
      </c>
      <c r="W18" s="27" t="s">
        <v>874</v>
      </c>
      <c r="X18" s="27" t="s">
        <v>875</v>
      </c>
      <c r="Y18" s="27" t="n">
        <v>19</v>
      </c>
      <c r="Z18" s="27" t="s">
        <v>876</v>
      </c>
      <c r="AA18" s="27" t="s">
        <v>877</v>
      </c>
      <c r="AB18" s="33" t="n">
        <v>3.9E-2</v>
      </c>
      <c r="AC18" s="33" t="n">
        <v>0.16</v>
      </c>
      <c r="AD18" s="33" t="n">
        <v>0.3</v>
      </c>
      <c r="AE18" s="33" t="n">
        <v>0.59899999999999998</v>
      </c>
      <c r="AF18" t="s">
        <v>408</v>
      </c>
    </row>
    <row r="19">
      <c r="A19" t="s">
        <v>529</v>
      </c>
      <c r="B19" t="s">
        <v>595</v>
      </c>
      <c r="C19" t="n">
        <v>21</v>
      </c>
      <c r="D19" t="s">
        <v>596</v>
      </c>
      <c r="E19" t="s">
        <v>597</v>
      </c>
      <c r="F19" t="n">
        <v>13</v>
      </c>
      <c r="G19" t="s">
        <v>596</v>
      </c>
      <c r="H19" t="s">
        <v>598</v>
      </c>
      <c r="I19" t="n">
        <v>19</v>
      </c>
      <c r="J19" t="s">
        <v>597</v>
      </c>
      <c r="K19" t="s">
        <v>599</v>
      </c>
      <c r="L19" s="33" t="n">
        <v>5.2999999999999999E-2</v>
      </c>
      <c r="M19" s="33" t="n">
        <v>0.16</v>
      </c>
      <c r="N19" s="33" t="n">
        <v>0.184</v>
      </c>
      <c r="O19" s="33" t="n">
        <v>0.443</v>
      </c>
      <c r="Q19" t="s">
        <v>346</v>
      </c>
      <c r="R19" s="28" t="s">
        <v>572</v>
      </c>
      <c r="S19" s="27" t="n">
        <v>20</v>
      </c>
      <c r="T19" s="27" t="s">
        <v>878</v>
      </c>
      <c r="U19" s="27" t="s">
        <v>879</v>
      </c>
      <c r="V19" s="27" t="n">
        <v>13</v>
      </c>
      <c r="W19" s="27" t="s">
        <v>880</v>
      </c>
      <c r="X19" s="27" t="s">
        <v>881</v>
      </c>
      <c r="Y19" s="27" t="n">
        <v>19</v>
      </c>
      <c r="Z19" s="27" t="s">
        <v>882</v>
      </c>
      <c r="AA19" s="27" t="s">
        <v>883</v>
      </c>
      <c r="AB19" s="33" t="n">
        <v>3.1E-2</v>
      </c>
      <c r="AC19" s="33" t="n">
        <v>0.16</v>
      </c>
      <c r="AD19" s="33" t="n">
        <v>0.57799999999999996</v>
      </c>
      <c r="AE19" s="33" t="n">
        <v>0.69299999999999995</v>
      </c>
      <c r="AF19" t="s">
        <v>411</v>
      </c>
    </row>
    <row r="20">
      <c r="A20" t="s">
        <v>529</v>
      </c>
      <c r="B20" t="s">
        <v>600</v>
      </c>
      <c r="C20" t="n">
        <v>21</v>
      </c>
      <c r="D20" t="s">
        <v>601</v>
      </c>
      <c r="E20" t="s">
        <v>602</v>
      </c>
      <c r="F20" t="n">
        <v>13</v>
      </c>
      <c r="G20" t="s">
        <v>603</v>
      </c>
      <c r="H20" t="s">
        <v>604</v>
      </c>
      <c r="I20" t="n">
        <v>19</v>
      </c>
      <c r="J20" t="s">
        <v>605</v>
      </c>
      <c r="K20" t="s">
        <v>606</v>
      </c>
      <c r="L20" s="33" t="n">
        <v>9.6000000000000002E-2</v>
      </c>
      <c r="M20" s="33" t="n">
        <v>0.23</v>
      </c>
      <c r="N20" s="33" t="n">
        <v>0.109</v>
      </c>
      <c r="O20" s="33" t="n">
        <v>0.443</v>
      </c>
      <c r="Q20" t="s">
        <v>348</v>
      </c>
      <c r="R20" s="28" t="s">
        <v>579</v>
      </c>
      <c r="S20" s="27" t="n">
        <v>21</v>
      </c>
      <c r="T20" s="27" t="s">
        <v>884</v>
      </c>
      <c r="U20" s="27" t="s">
        <v>884</v>
      </c>
      <c r="V20" s="27" t="n">
        <v>13</v>
      </c>
      <c r="W20" s="27" t="s">
        <v>884</v>
      </c>
      <c r="X20" s="27" t="s">
        <v>884</v>
      </c>
      <c r="Y20" s="27" t="n">
        <v>19</v>
      </c>
      <c r="Z20" s="27" t="s">
        <v>884</v>
      </c>
      <c r="AA20" s="27" t="s">
        <v>884</v>
      </c>
      <c r="AB20" s="33" t="n">
        <v>0.192</v>
      </c>
      <c r="AC20" s="33" t="n">
        <v>0.313</v>
      </c>
      <c r="AD20" s="33" t="n">
        <v>3.6999999999999998E-2</v>
      </c>
      <c r="AE20" s="33" t="n">
        <v>0.443</v>
      </c>
      <c r="AF20" t="s">
        <v>413</v>
      </c>
    </row>
    <row r="21">
      <c r="A21" t="s">
        <v>607</v>
      </c>
      <c r="B21" t="s">
        <v>608</v>
      </c>
      <c r="C21" t="n">
        <v>16</v>
      </c>
      <c r="D21" t="s">
        <v>609</v>
      </c>
      <c r="E21" t="s">
        <v>609</v>
      </c>
      <c r="F21" t="n">
        <v>13</v>
      </c>
      <c r="G21" t="s">
        <v>610</v>
      </c>
      <c r="H21" t="s">
        <v>611</v>
      </c>
      <c r="I21" t="n">
        <v>19</v>
      </c>
      <c r="J21" t="s">
        <v>612</v>
      </c>
      <c r="K21" t="s">
        <v>613</v>
      </c>
      <c r="L21" s="33" t="n">
        <v>0.97599999999999998</v>
      </c>
      <c r="M21" s="33" t="n">
        <v>0.98099999999999998</v>
      </c>
      <c r="N21" s="33" t="n">
        <v>0.20699999999999999</v>
      </c>
      <c r="O21" s="33" t="n">
        <v>0.46700000000000003</v>
      </c>
      <c r="Q21" t="s">
        <v>350</v>
      </c>
      <c r="R21" s="28" t="s">
        <v>581</v>
      </c>
      <c r="S21" s="27" t="n">
        <v>20</v>
      </c>
      <c r="T21" s="27" t="s">
        <v>885</v>
      </c>
      <c r="U21" s="27" t="s">
        <v>886</v>
      </c>
      <c r="V21" s="27" t="n">
        <v>13</v>
      </c>
      <c r="W21" s="27" t="s">
        <v>887</v>
      </c>
      <c r="X21" s="27" t="s">
        <v>888</v>
      </c>
      <c r="Y21" s="27" t="n">
        <v>19</v>
      </c>
      <c r="Z21" s="27" t="s">
        <v>889</v>
      </c>
      <c r="AA21" s="27" t="s">
        <v>890</v>
      </c>
      <c r="AB21" s="33" t="n">
        <v>0.20899999999999999</v>
      </c>
      <c r="AC21" s="33" t="n">
        <v>0.313</v>
      </c>
      <c r="AD21" s="33" t="n">
        <v>0.89400000000000002</v>
      </c>
      <c r="AE21" s="33" t="n">
        <v>0.94099999999999995</v>
      </c>
      <c r="AF21" t="s">
        <v>416</v>
      </c>
    </row>
    <row r="22">
      <c r="A22" t="s">
        <v>607</v>
      </c>
      <c r="B22" t="s">
        <v>614</v>
      </c>
      <c r="C22" t="n">
        <v>16</v>
      </c>
      <c r="D22" t="s">
        <v>615</v>
      </c>
      <c r="E22" t="s">
        <v>615</v>
      </c>
      <c r="F22" t="n">
        <v>13</v>
      </c>
      <c r="G22" t="s">
        <v>616</v>
      </c>
      <c r="H22" t="s">
        <v>617</v>
      </c>
      <c r="I22" t="n">
        <v>19</v>
      </c>
      <c r="J22" t="s">
        <v>618</v>
      </c>
      <c r="K22" t="s">
        <v>619</v>
      </c>
      <c r="L22" s="33" t="n">
        <v>0.4</v>
      </c>
      <c r="M22" s="33" t="n">
        <v>0.91600000000000004</v>
      </c>
      <c r="N22" s="33" t="n">
        <v>0.14699999999999999</v>
      </c>
      <c r="O22" s="33" t="n">
        <v>0.46700000000000003</v>
      </c>
      <c r="Q22" t="s">
        <v>352</v>
      </c>
      <c r="R22" s="28" t="s">
        <v>588</v>
      </c>
      <c r="S22" s="27" t="n">
        <v>21</v>
      </c>
      <c r="T22" s="27" t="s">
        <v>891</v>
      </c>
      <c r="U22" s="27" t="s">
        <v>892</v>
      </c>
      <c r="V22" s="27" t="n">
        <v>13</v>
      </c>
      <c r="W22" s="27" t="s">
        <v>893</v>
      </c>
      <c r="X22" s="27" t="s">
        <v>894</v>
      </c>
      <c r="Y22" s="27" t="n">
        <v>19</v>
      </c>
      <c r="Z22" s="27" t="s">
        <v>895</v>
      </c>
      <c r="AA22" s="27" t="s">
        <v>896</v>
      </c>
      <c r="AB22" s="33" t="n">
        <v>4.1000000000000002E-2</v>
      </c>
      <c r="AC22" s="33" t="n">
        <v>0.16</v>
      </c>
      <c r="AD22" s="33" t="n">
        <v>0.52100000000000002</v>
      </c>
      <c r="AE22" s="33" t="n">
        <v>0.69299999999999995</v>
      </c>
      <c r="AF22" t="s">
        <v>419</v>
      </c>
    </row>
    <row r="23">
      <c r="A23" t="s">
        <v>607</v>
      </c>
      <c r="B23" t="s">
        <v>620</v>
      </c>
      <c r="C23" t="n">
        <v>16</v>
      </c>
      <c r="D23" t="s">
        <v>621</v>
      </c>
      <c r="E23" t="s">
        <v>622</v>
      </c>
      <c r="F23" t="n">
        <v>13</v>
      </c>
      <c r="G23" t="s">
        <v>619</v>
      </c>
      <c r="H23" t="s">
        <v>623</v>
      </c>
      <c r="I23" t="n">
        <v>19</v>
      </c>
      <c r="J23" t="s">
        <v>621</v>
      </c>
      <c r="K23" t="s">
        <v>624</v>
      </c>
      <c r="L23" s="33" t="n">
        <v>0.56299999999999994</v>
      </c>
      <c r="M23" s="33" t="n">
        <v>0.91600000000000004</v>
      </c>
      <c r="N23" s="33" t="n">
        <v>0.17499999999999999</v>
      </c>
      <c r="O23" s="33" t="n">
        <v>0.46700000000000003</v>
      </c>
      <c r="Q23" t="s">
        <v>354</v>
      </c>
      <c r="R23" s="28" t="s">
        <v>595</v>
      </c>
      <c r="S23" s="27" t="n">
        <v>21</v>
      </c>
      <c r="T23" s="27" t="s">
        <v>897</v>
      </c>
      <c r="U23" s="27" t="s">
        <v>898</v>
      </c>
      <c r="V23" s="27" t="n">
        <v>13</v>
      </c>
      <c r="W23" s="27" t="s">
        <v>897</v>
      </c>
      <c r="X23" s="27" t="s">
        <v>899</v>
      </c>
      <c r="Y23" s="27" t="n">
        <v>19</v>
      </c>
      <c r="Z23" s="27" t="s">
        <v>898</v>
      </c>
      <c r="AA23" s="27" t="s">
        <v>900</v>
      </c>
      <c r="AB23" s="33" t="n">
        <v>5.2999999999999999E-2</v>
      </c>
      <c r="AC23" s="33" t="n">
        <v>0.16</v>
      </c>
      <c r="AD23" s="33" t="n">
        <v>0.184</v>
      </c>
      <c r="AE23" s="33" t="n">
        <v>0.443</v>
      </c>
      <c r="AF23" t="s">
        <v>422</v>
      </c>
    </row>
    <row r="24">
      <c r="A24" t="s">
        <v>607</v>
      </c>
      <c r="B24" t="s">
        <v>625</v>
      </c>
      <c r="C24" t="n">
        <v>16</v>
      </c>
      <c r="D24" t="s">
        <v>626</v>
      </c>
      <c r="E24" t="s">
        <v>626</v>
      </c>
      <c r="F24" t="n">
        <v>13</v>
      </c>
      <c r="G24" t="s">
        <v>627</v>
      </c>
      <c r="H24" t="s">
        <v>627</v>
      </c>
      <c r="I24" t="n">
        <v>19</v>
      </c>
      <c r="J24" t="s">
        <v>626</v>
      </c>
      <c r="K24" t="s">
        <v>627</v>
      </c>
      <c r="L24" s="33" t="n">
        <v>0.90900000000000003</v>
      </c>
      <c r="M24" s="33" t="n">
        <v>0.98099999999999998</v>
      </c>
      <c r="N24" s="33" t="n">
        <v>0.82299999999999995</v>
      </c>
      <c r="O24" s="33" t="n">
        <v>0.82399999999999995</v>
      </c>
      <c r="Q24" t="s">
        <v>356</v>
      </c>
      <c r="R24" s="28" t="s">
        <v>600</v>
      </c>
      <c r="S24" s="27" t="n">
        <v>21</v>
      </c>
      <c r="T24" s="27" t="s">
        <v>901</v>
      </c>
      <c r="U24" s="27" t="s">
        <v>902</v>
      </c>
      <c r="V24" s="27" t="n">
        <v>13</v>
      </c>
      <c r="W24" s="27" t="s">
        <v>903</v>
      </c>
      <c r="X24" s="27" t="s">
        <v>904</v>
      </c>
      <c r="Y24" s="27" t="n">
        <v>19</v>
      </c>
      <c r="Z24" s="27" t="s">
        <v>905</v>
      </c>
      <c r="AA24" s="27" t="s">
        <v>906</v>
      </c>
      <c r="AB24" s="33" t="n">
        <v>9.6000000000000002E-2</v>
      </c>
      <c r="AC24" s="33" t="n">
        <v>0.23</v>
      </c>
      <c r="AD24" s="33" t="n">
        <v>0.109</v>
      </c>
      <c r="AE24" s="33" t="n">
        <v>0.443</v>
      </c>
      <c r="AF24" t="s">
        <v>425</v>
      </c>
    </row>
    <row r="25">
      <c r="A25" t="s">
        <v>607</v>
      </c>
      <c r="B25" t="s">
        <v>628</v>
      </c>
      <c r="C25" t="n">
        <v>16</v>
      </c>
      <c r="D25" t="s">
        <v>629</v>
      </c>
      <c r="E25" t="s">
        <v>626</v>
      </c>
      <c r="F25" t="n">
        <v>13</v>
      </c>
      <c r="G25" t="s">
        <v>627</v>
      </c>
      <c r="H25" t="s">
        <v>627</v>
      </c>
      <c r="I25" t="n">
        <v>19</v>
      </c>
      <c r="J25" t="s">
        <v>626</v>
      </c>
      <c r="K25" t="s">
        <v>626</v>
      </c>
      <c r="L25" s="33" t="n">
        <v>0.311</v>
      </c>
      <c r="M25" s="33" t="n">
        <v>0.91600000000000004</v>
      </c>
      <c r="N25" s="33" t="n">
        <v>0.28999999999999998</v>
      </c>
      <c r="O25" s="33" t="n">
        <v>0.47199999999999998</v>
      </c>
      <c r="R25" s="45" t="s">
        <v>169</v>
      </c>
      <c r="S25" s="46"/>
      <c r="T25" s="46"/>
      <c r="U25" s="46"/>
      <c r="V25" s="46"/>
      <c r="W25" s="46"/>
      <c r="X25" s="46"/>
      <c r="Y25" s="46"/>
      <c r="Z25" s="46"/>
      <c r="AA25" s="46"/>
      <c r="AB25" s="49"/>
      <c r="AC25" s="49"/>
      <c r="AD25" s="49"/>
      <c r="AE25" s="49"/>
    </row>
    <row r="26">
      <c r="A26" t="s">
        <v>607</v>
      </c>
      <c r="B26" t="s">
        <v>630</v>
      </c>
      <c r="C26" t="n">
        <v>16</v>
      </c>
      <c r="D26" t="s">
        <v>626</v>
      </c>
      <c r="E26" t="s">
        <v>626</v>
      </c>
      <c r="F26" t="n">
        <v>13</v>
      </c>
      <c r="G26" t="s">
        <v>627</v>
      </c>
      <c r="H26" t="s">
        <v>631</v>
      </c>
      <c r="I26" t="n">
        <v>19</v>
      </c>
      <c r="J26" t="s">
        <v>626</v>
      </c>
      <c r="K26" t="s">
        <v>626</v>
      </c>
      <c r="L26" s="33" t="n">
        <v>0.50700000000000001</v>
      </c>
      <c r="M26" s="33" t="n">
        <v>0.91600000000000004</v>
      </c>
      <c r="N26" s="33" t="n">
        <v>0.57799999999999996</v>
      </c>
      <c r="O26" s="33" t="n">
        <v>0.752</v>
      </c>
      <c r="Q26" t="s">
        <v>359</v>
      </c>
      <c r="R26" s="28" t="s">
        <v>608</v>
      </c>
      <c r="S26" s="27" t="n">
        <v>16</v>
      </c>
      <c r="T26" s="27" t="s">
        <v>907</v>
      </c>
      <c r="U26" s="27" t="s">
        <v>907</v>
      </c>
      <c r="V26" s="27" t="n">
        <v>13</v>
      </c>
      <c r="W26" s="27" t="s">
        <v>908</v>
      </c>
      <c r="X26" s="27" t="s">
        <v>909</v>
      </c>
      <c r="Y26" s="27" t="n">
        <v>19</v>
      </c>
      <c r="Z26" s="27" t="s">
        <v>910</v>
      </c>
      <c r="AA26" s="27" t="s">
        <v>911</v>
      </c>
      <c r="AB26" s="33" t="n">
        <v>0.97599999999999998</v>
      </c>
      <c r="AC26" s="33" t="n">
        <v>0.98099999999999998</v>
      </c>
      <c r="AD26" s="33" t="n">
        <v>0.20699999999999999</v>
      </c>
      <c r="AE26" s="33" t="n">
        <v>0.46700000000000003</v>
      </c>
      <c r="AF26" t="s">
        <v>428</v>
      </c>
    </row>
    <row r="27">
      <c r="A27" t="s">
        <v>607</v>
      </c>
      <c r="B27" t="s">
        <v>632</v>
      </c>
      <c r="C27" t="n">
        <v>21</v>
      </c>
      <c r="D27" t="s">
        <v>627</v>
      </c>
      <c r="E27" t="s">
        <v>633</v>
      </c>
      <c r="F27" t="n">
        <v>11</v>
      </c>
      <c r="G27" t="s">
        <v>634</v>
      </c>
      <c r="H27" t="s">
        <v>635</v>
      </c>
      <c r="I27" t="n">
        <v>17</v>
      </c>
      <c r="J27" t="s">
        <v>629</v>
      </c>
      <c r="K27" t="s">
        <v>636</v>
      </c>
      <c r="L27" s="33" t="n">
        <v>0.45200000000000001</v>
      </c>
      <c r="M27" s="33" t="n">
        <v>0.91600000000000004</v>
      </c>
      <c r="N27" s="33" t="n">
        <v>0.02</v>
      </c>
      <c r="O27" s="33" t="n">
        <v>0.13200000000000001</v>
      </c>
      <c r="Q27" t="s">
        <v>361</v>
      </c>
      <c r="R27" s="28" t="s">
        <v>614</v>
      </c>
      <c r="S27" s="27" t="n">
        <v>16</v>
      </c>
      <c r="T27" s="27" t="s">
        <v>912</v>
      </c>
      <c r="U27" s="27" t="s">
        <v>912</v>
      </c>
      <c r="V27" s="27" t="n">
        <v>13</v>
      </c>
      <c r="W27" s="27" t="s">
        <v>913</v>
      </c>
      <c r="X27" s="27" t="s">
        <v>914</v>
      </c>
      <c r="Y27" s="27" t="n">
        <v>19</v>
      </c>
      <c r="Z27" s="27" t="s">
        <v>915</v>
      </c>
      <c r="AA27" s="27" t="s">
        <v>916</v>
      </c>
      <c r="AB27" s="33" t="n">
        <v>0.4</v>
      </c>
      <c r="AC27" s="33" t="n">
        <v>0.91600000000000004</v>
      </c>
      <c r="AD27" s="33" t="n">
        <v>0.14699999999999999</v>
      </c>
      <c r="AE27" s="33" t="n">
        <v>0.46700000000000003</v>
      </c>
      <c r="AF27" t="s">
        <v>431</v>
      </c>
    </row>
    <row r="28">
      <c r="A28" t="s">
        <v>607</v>
      </c>
      <c r="B28" t="s">
        <v>637</v>
      </c>
      <c r="C28" t="n">
        <v>16</v>
      </c>
      <c r="D28" t="s">
        <v>638</v>
      </c>
      <c r="E28" t="s">
        <v>639</v>
      </c>
      <c r="F28" t="n">
        <v>13</v>
      </c>
      <c r="G28" t="s">
        <v>640</v>
      </c>
      <c r="H28" t="s">
        <v>641</v>
      </c>
      <c r="I28" t="n">
        <v>19</v>
      </c>
      <c r="J28" t="s">
        <v>642</v>
      </c>
      <c r="K28" t="s">
        <v>643</v>
      </c>
      <c r="L28" s="33" t="n">
        <v>0.33900000000000002</v>
      </c>
      <c r="M28" s="33" t="n">
        <v>0.91600000000000004</v>
      </c>
      <c r="N28" s="33" t="n">
        <v>0.252</v>
      </c>
      <c r="O28" s="33" t="n">
        <v>0.46700000000000003</v>
      </c>
      <c r="Q28" t="s">
        <v>363</v>
      </c>
      <c r="R28" s="28" t="s">
        <v>620</v>
      </c>
      <c r="S28" s="27" t="n">
        <v>16</v>
      </c>
      <c r="T28" s="27" t="s">
        <v>917</v>
      </c>
      <c r="U28" s="27" t="s">
        <v>918</v>
      </c>
      <c r="V28" s="27" t="n">
        <v>13</v>
      </c>
      <c r="W28" s="27" t="s">
        <v>916</v>
      </c>
      <c r="X28" s="27" t="s">
        <v>919</v>
      </c>
      <c r="Y28" s="27" t="n">
        <v>19</v>
      </c>
      <c r="Z28" s="27" t="s">
        <v>917</v>
      </c>
      <c r="AA28" s="27" t="s">
        <v>920</v>
      </c>
      <c r="AB28" s="33" t="n">
        <v>0.56299999999999994</v>
      </c>
      <c r="AC28" s="33" t="n">
        <v>0.91600000000000004</v>
      </c>
      <c r="AD28" s="33" t="n">
        <v>0.17499999999999999</v>
      </c>
      <c r="AE28" s="33" t="n">
        <v>0.46700000000000003</v>
      </c>
      <c r="AF28" t="s">
        <v>434</v>
      </c>
    </row>
    <row r="29">
      <c r="A29" t="s">
        <v>607</v>
      </c>
      <c r="B29" t="s">
        <v>644</v>
      </c>
      <c r="C29" t="n">
        <v>16</v>
      </c>
      <c r="D29" t="s">
        <v>645</v>
      </c>
      <c r="E29" t="s">
        <v>646</v>
      </c>
      <c r="F29" t="n">
        <v>13</v>
      </c>
      <c r="G29" t="s">
        <v>647</v>
      </c>
      <c r="H29" t="s">
        <v>648</v>
      </c>
      <c r="I29" t="n">
        <v>19</v>
      </c>
      <c r="J29" t="s">
        <v>649</v>
      </c>
      <c r="K29" t="s">
        <v>650</v>
      </c>
      <c r="L29" s="33" t="n">
        <v>0.98099999999999998</v>
      </c>
      <c r="M29" s="33" t="n">
        <v>0.98099999999999998</v>
      </c>
      <c r="N29" s="33" t="n">
        <v>0.35899999999999999</v>
      </c>
      <c r="O29" s="33" t="n">
        <v>0.51900000000000002</v>
      </c>
      <c r="Q29" t="s">
        <v>365</v>
      </c>
      <c r="R29" s="28" t="s">
        <v>625</v>
      </c>
      <c r="S29" s="27" t="n">
        <v>16</v>
      </c>
      <c r="T29" s="27" t="s">
        <v>921</v>
      </c>
      <c r="U29" s="27" t="s">
        <v>921</v>
      </c>
      <c r="V29" s="27" t="n">
        <v>13</v>
      </c>
      <c r="W29" s="27" t="s">
        <v>922</v>
      </c>
      <c r="X29" s="27" t="s">
        <v>922</v>
      </c>
      <c r="Y29" s="27" t="n">
        <v>19</v>
      </c>
      <c r="Z29" s="27" t="s">
        <v>921</v>
      </c>
      <c r="AA29" s="27" t="s">
        <v>922</v>
      </c>
      <c r="AB29" s="33" t="n">
        <v>0.90900000000000003</v>
      </c>
      <c r="AC29" s="33" t="n">
        <v>0.98099999999999998</v>
      </c>
      <c r="AD29" s="33" t="n">
        <v>0.82299999999999995</v>
      </c>
      <c r="AE29" s="33" t="n">
        <v>0.82399999999999995</v>
      </c>
      <c r="AF29" t="s">
        <v>436</v>
      </c>
    </row>
    <row r="30">
      <c r="A30" t="s">
        <v>607</v>
      </c>
      <c r="B30" t="s">
        <v>651</v>
      </c>
      <c r="C30" t="n">
        <v>16</v>
      </c>
      <c r="D30" t="s">
        <v>652</v>
      </c>
      <c r="E30" t="s">
        <v>653</v>
      </c>
      <c r="F30" t="n">
        <v>13</v>
      </c>
      <c r="G30" t="s">
        <v>654</v>
      </c>
      <c r="H30" t="s">
        <v>655</v>
      </c>
      <c r="I30" t="n">
        <v>19</v>
      </c>
      <c r="J30" t="s">
        <v>656</v>
      </c>
      <c r="K30" t="s">
        <v>657</v>
      </c>
      <c r="L30" s="33" t="n">
        <v>0.72799999999999998</v>
      </c>
      <c r="M30" s="33" t="n">
        <v>0.94599999999999995</v>
      </c>
      <c r="N30" s="33" t="n">
        <v>0.224</v>
      </c>
      <c r="O30" s="33" t="n">
        <v>0.46700000000000003</v>
      </c>
      <c r="Q30" t="s">
        <v>367</v>
      </c>
      <c r="R30" s="28" t="s">
        <v>628</v>
      </c>
      <c r="S30" s="27" t="n">
        <v>16</v>
      </c>
      <c r="T30" s="27" t="s">
        <v>923</v>
      </c>
      <c r="U30" s="27" t="s">
        <v>921</v>
      </c>
      <c r="V30" s="27" t="n">
        <v>13</v>
      </c>
      <c r="W30" s="27" t="s">
        <v>922</v>
      </c>
      <c r="X30" s="27" t="s">
        <v>922</v>
      </c>
      <c r="Y30" s="27" t="n">
        <v>19</v>
      </c>
      <c r="Z30" s="27" t="s">
        <v>921</v>
      </c>
      <c r="AA30" s="27" t="s">
        <v>921</v>
      </c>
      <c r="AB30" s="33" t="n">
        <v>0.311</v>
      </c>
      <c r="AC30" s="33" t="n">
        <v>0.91600000000000004</v>
      </c>
      <c r="AD30" s="33" t="n">
        <v>0.28999999999999998</v>
      </c>
      <c r="AE30" s="33" t="n">
        <v>0.47199999999999998</v>
      </c>
      <c r="AF30" t="s">
        <v>439</v>
      </c>
    </row>
    <row r="31">
      <c r="A31" t="s">
        <v>607</v>
      </c>
      <c r="B31" t="s">
        <v>658</v>
      </c>
      <c r="C31" t="n">
        <v>21</v>
      </c>
      <c r="D31" t="s">
        <v>629</v>
      </c>
      <c r="E31" t="s">
        <v>633</v>
      </c>
      <c r="F31" t="n">
        <v>11</v>
      </c>
      <c r="G31" t="s">
        <v>634</v>
      </c>
      <c r="H31" t="s">
        <v>627</v>
      </c>
      <c r="I31" t="n">
        <v>17</v>
      </c>
      <c r="J31" t="s">
        <v>659</v>
      </c>
      <c r="K31" t="s">
        <v>660</v>
      </c>
      <c r="L31" s="33" t="n">
        <v>0.65300000000000002</v>
      </c>
      <c r="M31" s="33" t="n">
        <v>0.94299999999999995</v>
      </c>
      <c r="N31" s="33" t="n">
        <v>8.0000000000000002E-3</v>
      </c>
      <c r="O31" s="33" t="n">
        <v>0.1</v>
      </c>
      <c r="Q31" t="s">
        <v>369</v>
      </c>
      <c r="R31" s="28" t="s">
        <v>630</v>
      </c>
      <c r="S31" s="27" t="n">
        <v>16</v>
      </c>
      <c r="T31" s="27" t="s">
        <v>921</v>
      </c>
      <c r="U31" s="27" t="s">
        <v>921</v>
      </c>
      <c r="V31" s="27" t="n">
        <v>13</v>
      </c>
      <c r="W31" s="27" t="s">
        <v>922</v>
      </c>
      <c r="X31" s="27" t="s">
        <v>924</v>
      </c>
      <c r="Y31" s="27" t="n">
        <v>19</v>
      </c>
      <c r="Z31" s="27" t="s">
        <v>921</v>
      </c>
      <c r="AA31" s="27" t="s">
        <v>921</v>
      </c>
      <c r="AB31" s="33" t="n">
        <v>0.50700000000000001</v>
      </c>
      <c r="AC31" s="33" t="n">
        <v>0.91600000000000004</v>
      </c>
      <c r="AD31" s="33" t="n">
        <v>0.57799999999999996</v>
      </c>
      <c r="AE31" s="33" t="n">
        <v>0.752</v>
      </c>
      <c r="AF31" t="s">
        <v>441</v>
      </c>
    </row>
    <row r="32">
      <c r="A32" t="s">
        <v>607</v>
      </c>
      <c r="B32" t="s">
        <v>661</v>
      </c>
      <c r="C32" t="n">
        <v>16</v>
      </c>
      <c r="D32" t="s">
        <v>662</v>
      </c>
      <c r="E32" t="s">
        <v>663</v>
      </c>
      <c r="F32" t="n">
        <v>13</v>
      </c>
      <c r="G32" t="s">
        <v>664</v>
      </c>
      <c r="H32" t="s">
        <v>665</v>
      </c>
      <c r="I32" t="n">
        <v>19</v>
      </c>
      <c r="J32" t="s">
        <v>666</v>
      </c>
      <c r="K32" t="s">
        <v>667</v>
      </c>
      <c r="L32" s="33" t="n">
        <v>0.188</v>
      </c>
      <c r="M32" s="33" t="n">
        <v>0.91600000000000004</v>
      </c>
      <c r="N32" s="33" t="n">
        <v>0.82399999999999995</v>
      </c>
      <c r="O32" s="33" t="n">
        <v>0.82399999999999995</v>
      </c>
      <c r="Q32" t="s">
        <v>371</v>
      </c>
      <c r="R32" s="28" t="s">
        <v>632</v>
      </c>
      <c r="S32" s="27" t="n">
        <v>21</v>
      </c>
      <c r="T32" s="27" t="s">
        <v>922</v>
      </c>
      <c r="U32" s="27" t="s">
        <v>925</v>
      </c>
      <c r="V32" s="27" t="n">
        <v>11</v>
      </c>
      <c r="W32" s="27" t="s">
        <v>926</v>
      </c>
      <c r="X32" s="27" t="s">
        <v>927</v>
      </c>
      <c r="Y32" s="27" t="n">
        <v>17</v>
      </c>
      <c r="Z32" s="27" t="s">
        <v>923</v>
      </c>
      <c r="AA32" s="27" t="s">
        <v>928</v>
      </c>
      <c r="AB32" s="33" t="n">
        <v>0.45200000000000001</v>
      </c>
      <c r="AC32" s="33" t="n">
        <v>0.91600000000000004</v>
      </c>
      <c r="AD32" s="33" t="n">
        <v>0.02</v>
      </c>
      <c r="AE32" s="33" t="n">
        <v>0.13200000000000001</v>
      </c>
      <c r="AF32" t="s">
        <v>445</v>
      </c>
    </row>
    <row r="33">
      <c r="A33" t="s">
        <v>607</v>
      </c>
      <c r="B33" t="s">
        <v>668</v>
      </c>
      <c r="C33" t="n">
        <v>16</v>
      </c>
      <c r="D33" t="s">
        <v>669</v>
      </c>
      <c r="E33" t="s">
        <v>670</v>
      </c>
      <c r="F33" t="n">
        <v>13</v>
      </c>
      <c r="G33" t="s">
        <v>671</v>
      </c>
      <c r="H33" t="s">
        <v>672</v>
      </c>
      <c r="I33" t="n">
        <v>19</v>
      </c>
      <c r="J33" t="s">
        <v>673</v>
      </c>
      <c r="K33" t="s">
        <v>674</v>
      </c>
      <c r="L33" s="33" t="n">
        <v>0.188</v>
      </c>
      <c r="M33" s="33" t="n">
        <v>0.91600000000000004</v>
      </c>
      <c r="N33" s="33" t="n">
        <v>0.82399999999999995</v>
      </c>
      <c r="O33" s="33" t="n">
        <v>0.82399999999999995</v>
      </c>
      <c r="Q33" t="s">
        <v>373</v>
      </c>
      <c r="R33" s="28" t="s">
        <v>637</v>
      </c>
      <c r="S33" s="27" t="n">
        <v>16</v>
      </c>
      <c r="T33" s="27" t="s">
        <v>929</v>
      </c>
      <c r="U33" s="27" t="s">
        <v>930</v>
      </c>
      <c r="V33" s="27" t="n">
        <v>13</v>
      </c>
      <c r="W33" s="27" t="s">
        <v>931</v>
      </c>
      <c r="X33" s="27" t="s">
        <v>932</v>
      </c>
      <c r="Y33" s="27" t="n">
        <v>19</v>
      </c>
      <c r="Z33" s="27" t="s">
        <v>933</v>
      </c>
      <c r="AA33" s="27" t="s">
        <v>934</v>
      </c>
      <c r="AB33" s="33" t="n">
        <v>0.33900000000000002</v>
      </c>
      <c r="AC33" s="33" t="n">
        <v>0.91600000000000004</v>
      </c>
      <c r="AD33" s="33" t="n">
        <v>0.252</v>
      </c>
      <c r="AE33" s="33" t="n">
        <v>0.46700000000000003</v>
      </c>
      <c r="AF33" t="s">
        <v>448</v>
      </c>
    </row>
    <row r="34">
      <c r="Q34" t="s">
        <v>375</v>
      </c>
      <c r="R34" s="28" t="s">
        <v>644</v>
      </c>
      <c r="S34" s="27" t="n">
        <v>16</v>
      </c>
      <c r="T34" s="27" t="s">
        <v>935</v>
      </c>
      <c r="U34" s="27" t="s">
        <v>936</v>
      </c>
      <c r="V34" s="27" t="n">
        <v>13</v>
      </c>
      <c r="W34" s="27" t="s">
        <v>937</v>
      </c>
      <c r="X34" s="27" t="s">
        <v>938</v>
      </c>
      <c r="Y34" s="27" t="n">
        <v>19</v>
      </c>
      <c r="Z34" s="27" t="s">
        <v>939</v>
      </c>
      <c r="AA34" s="27" t="s">
        <v>940</v>
      </c>
      <c r="AB34" s="33" t="n">
        <v>0.98099999999999998</v>
      </c>
      <c r="AC34" s="33" t="n">
        <v>0.98099999999999998</v>
      </c>
      <c r="AD34" s="33" t="n">
        <v>0.35899999999999999</v>
      </c>
      <c r="AE34" s="33" t="n">
        <v>0.51900000000000002</v>
      </c>
      <c r="AF34" t="s">
        <v>451</v>
      </c>
    </row>
    <row r="35">
      <c r="Q35" t="s">
        <v>377</v>
      </c>
      <c r="R35" s="28" t="s">
        <v>651</v>
      </c>
      <c r="S35" s="27" t="n">
        <v>16</v>
      </c>
      <c r="T35" s="27" t="s">
        <v>941</v>
      </c>
      <c r="U35" s="27" t="s">
        <v>942</v>
      </c>
      <c r="V35" s="27" t="n">
        <v>13</v>
      </c>
      <c r="W35" s="27" t="s">
        <v>943</v>
      </c>
      <c r="X35" s="27" t="s">
        <v>944</v>
      </c>
      <c r="Y35" s="27" t="n">
        <v>19</v>
      </c>
      <c r="Z35" s="27" t="s">
        <v>945</v>
      </c>
      <c r="AA35" s="27" t="s">
        <v>946</v>
      </c>
      <c r="AB35" s="33" t="n">
        <v>0.72799999999999998</v>
      </c>
      <c r="AC35" s="33" t="n">
        <v>0.94599999999999995</v>
      </c>
      <c r="AD35" s="33" t="n">
        <v>0.224</v>
      </c>
      <c r="AE35" s="33" t="n">
        <v>0.46700000000000003</v>
      </c>
      <c r="AF35" t="s">
        <v>454</v>
      </c>
    </row>
    <row r="36">
      <c r="Q36" t="s">
        <v>379</v>
      </c>
      <c r="R36" s="28" t="s">
        <v>107</v>
      </c>
      <c r="S36" s="27" t="n">
        <v>21</v>
      </c>
      <c r="T36" s="27" t="s">
        <v>923</v>
      </c>
      <c r="U36" s="27" t="s">
        <v>925</v>
      </c>
      <c r="V36" s="27" t="n">
        <v>11</v>
      </c>
      <c r="W36" s="27" t="s">
        <v>926</v>
      </c>
      <c r="X36" s="27" t="s">
        <v>922</v>
      </c>
      <c r="Y36" s="27" t="n">
        <v>17</v>
      </c>
      <c r="Z36" s="27" t="s">
        <v>947</v>
      </c>
      <c r="AA36" s="27" t="s">
        <v>948</v>
      </c>
      <c r="AB36" s="33" t="n">
        <v>0.65300000000000002</v>
      </c>
      <c r="AC36" s="33" t="n">
        <v>0.94299999999999995</v>
      </c>
      <c r="AD36" s="33" t="n">
        <v>8.0000000000000002E-3</v>
      </c>
      <c r="AE36" s="33" t="n">
        <v>0.1</v>
      </c>
      <c r="AF36" t="s">
        <v>457</v>
      </c>
    </row>
    <row r="37">
      <c r="Q37" t="s">
        <v>381</v>
      </c>
      <c r="R37" s="28" t="s">
        <v>661</v>
      </c>
      <c r="S37" s="27" t="n">
        <v>16</v>
      </c>
      <c r="T37" s="27" t="s">
        <v>949</v>
      </c>
      <c r="U37" s="27" t="s">
        <v>950</v>
      </c>
      <c r="V37" s="27" t="n">
        <v>13</v>
      </c>
      <c r="W37" s="27" t="s">
        <v>951</v>
      </c>
      <c r="X37" s="27" t="s">
        <v>952</v>
      </c>
      <c r="Y37" s="27" t="n">
        <v>19</v>
      </c>
      <c r="Z37" s="27" t="s">
        <v>953</v>
      </c>
      <c r="AA37" s="27" t="s">
        <v>954</v>
      </c>
      <c r="AB37" s="33" t="n">
        <v>0.188</v>
      </c>
      <c r="AC37" s="33" t="n">
        <v>0.91600000000000004</v>
      </c>
      <c r="AD37" s="33" t="n">
        <v>0.82399999999999995</v>
      </c>
      <c r="AE37" s="33" t="n">
        <v>0.82399999999999995</v>
      </c>
      <c r="AF37" t="s">
        <v>460</v>
      </c>
    </row>
    <row r="38" ht="15.75" customHeight="1">
      <c r="Q38" t="s">
        <v>383</v>
      </c>
      <c r="R38" s="29" t="s">
        <v>668</v>
      </c>
      <c r="S38" s="30" t="n">
        <v>16</v>
      </c>
      <c r="T38" s="30" t="s">
        <v>955</v>
      </c>
      <c r="U38" s="30" t="s">
        <v>956</v>
      </c>
      <c r="V38" s="30" t="n">
        <v>13</v>
      </c>
      <c r="W38" s="30" t="s">
        <v>957</v>
      </c>
      <c r="X38" s="30" t="s">
        <v>958</v>
      </c>
      <c r="Y38" s="30" t="n">
        <v>19</v>
      </c>
      <c r="Z38" s="30" t="s">
        <v>959</v>
      </c>
      <c r="AA38" s="30" t="s">
        <v>960</v>
      </c>
      <c r="AB38" s="50" t="n">
        <v>0.188</v>
      </c>
      <c r="AC38" s="50" t="n">
        <v>0.91600000000000004</v>
      </c>
      <c r="AD38" s="50" t="n">
        <v>0.82399999999999995</v>
      </c>
      <c r="AE38" s="50" t="n">
        <v>0.82399999999999995</v>
      </c>
      <c r="AF38" t="s">
        <v>463</v>
      </c>
    </row>
    <row r="41">
      <c r="R41" s="51" t="s">
        <v>970</v>
      </c>
    </row>
    <row r="42">
      <c r="R42" s="51" t="s">
        <v>971</v>
      </c>
    </row>
  </sheetData>
  <mergeCells count="5">
    <mergeCell ref="Y2:AA2"/>
    <mergeCell ref="V2:X2"/>
    <mergeCell ref="S2:U2"/>
    <mergeCell ref="AD2:AE2"/>
    <mergeCell ref="AB2:AC2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L37" sqref="L37"/>
    </sheetView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>
      <c r="A2" t="s">
        <v>194</v>
      </c>
      <c r="B2" t="n">
        <v>-0.11622639965142401</v>
      </c>
      <c r="C2" t="n">
        <v>31</v>
      </c>
      <c r="D2" t="n">
        <v>-0.61409603240673705</v>
      </c>
      <c r="E2" t="n">
        <v>0.38164323310388998</v>
      </c>
      <c r="F2" s="21" t="n">
        <v>0.63732799795522099</v>
      </c>
    </row>
    <row r="3">
      <c r="A3" t="s">
        <v>195</v>
      </c>
      <c r="B3" t="n">
        <v>-0.58792628769986399</v>
      </c>
      <c r="C3" t="n">
        <v>31</v>
      </c>
      <c r="D3" t="n">
        <v>-3.32747922976493</v>
      </c>
      <c r="E3" t="n">
        <v>2.1516266543652001</v>
      </c>
      <c r="F3" s="21" t="n">
        <v>0.66464325484266795</v>
      </c>
    </row>
    <row r="4">
      <c r="A4" t="s">
        <v>196</v>
      </c>
      <c r="B4" t="n">
        <v>-0.22881984469026201</v>
      </c>
      <c r="C4" t="n">
        <v>31</v>
      </c>
      <c r="D4" t="n">
        <v>-1.2047196563928799</v>
      </c>
      <c r="E4" t="n">
        <v>0.74707996701236101</v>
      </c>
      <c r="F4" s="21" t="n">
        <v>0.63585885181226398</v>
      </c>
    </row>
    <row r="5">
      <c r="A5" t="s">
        <v>197</v>
      </c>
      <c r="B5" t="n">
        <v>-308.66893042678402</v>
      </c>
      <c r="C5" t="n">
        <v>26</v>
      </c>
      <c r="D5" t="n">
        <v>-959.81056257684804</v>
      </c>
      <c r="E5" t="n">
        <v>342.47270172328001</v>
      </c>
      <c r="F5" s="21" t="n">
        <v>0.33883287043115901</v>
      </c>
    </row>
    <row r="6">
      <c r="A6" t="s">
        <v>198</v>
      </c>
      <c r="B6" t="n">
        <v>4.3935832658702401</v>
      </c>
      <c r="C6" t="n">
        <v>26</v>
      </c>
      <c r="D6" t="n">
        <v>-368.55248979164401</v>
      </c>
      <c r="E6" t="n">
        <v>377.33965632338499</v>
      </c>
      <c r="F6" s="21" t="n">
        <v>0.98086547748765796</v>
      </c>
    </row>
    <row r="7">
      <c r="A7" t="s">
        <v>199</v>
      </c>
      <c r="B7" t="n">
        <v>-80.376321690444598</v>
      </c>
      <c r="C7" t="n">
        <v>26</v>
      </c>
      <c r="D7" t="n">
        <v>-549.49089250242002</v>
      </c>
      <c r="E7" t="n">
        <v>388.738249121531</v>
      </c>
      <c r="F7" s="21" t="n">
        <v>0.72753701222420497</v>
      </c>
    </row>
    <row r="8">
      <c r="A8" t="s">
        <v>200</v>
      </c>
      <c r="B8" t="n">
        <v>5.5397399003184598</v>
      </c>
      <c r="C8" t="n">
        <v>26</v>
      </c>
      <c r="D8" t="n">
        <v>-2.8816023526911398</v>
      </c>
      <c r="E8" t="n">
        <v>13.9610821533281</v>
      </c>
      <c r="F8" s="21" t="n">
        <v>0.18796589546164699</v>
      </c>
    </row>
    <row r="9">
      <c r="A9" t="s">
        <v>201</v>
      </c>
      <c r="B9" t="n">
        <v>-5.5397390955394998</v>
      </c>
      <c r="C9" t="n">
        <v>26</v>
      </c>
      <c r="D9" t="n">
        <v>-13.9610812376861</v>
      </c>
      <c r="E9" t="n">
        <v>2.8816030466071498</v>
      </c>
      <c r="F9" s="21" t="n">
        <v>0.18796595186255199</v>
      </c>
    </row>
    <row r="10">
      <c r="A10" t="s">
        <v>202</v>
      </c>
      <c r="B10" t="n">
        <v>-5.9858679777926296E-3</v>
      </c>
      <c r="C10" t="n">
        <v>26</v>
      </c>
      <c r="D10" t="n">
        <v>-0.40504868638748098</v>
      </c>
      <c r="E10" t="n">
        <v>0.393076950431896</v>
      </c>
      <c r="F10" s="21" t="n">
        <v>0.97563854074302703</v>
      </c>
    </row>
    <row r="11">
      <c r="A11" t="s">
        <v>203</v>
      </c>
      <c r="B11" t="n">
        <v>0.13409556071173601</v>
      </c>
      <c r="C11" t="n">
        <v>26</v>
      </c>
      <c r="D11" t="n">
        <v>-0.18825464002926001</v>
      </c>
      <c r="E11" t="n">
        <v>0.45644576145273102</v>
      </c>
      <c r="F11" s="21" t="n">
        <v>0.40031432173635101</v>
      </c>
    </row>
    <row r="12">
      <c r="A12" t="s">
        <v>204</v>
      </c>
      <c r="B12" t="n">
        <v>0.10088242512271001</v>
      </c>
      <c r="C12" t="n">
        <v>26</v>
      </c>
      <c r="D12" t="n">
        <v>-0.253480728170418</v>
      </c>
      <c r="E12" t="n">
        <v>0.45524557841583702</v>
      </c>
      <c r="F12" s="21" t="n">
        <v>0.563470410693933</v>
      </c>
    </row>
    <row r="13">
      <c r="A13" t="s">
        <v>205</v>
      </c>
      <c r="B13" t="n">
        <v>-7.5958760426974104E-3</v>
      </c>
      <c r="C13" t="n">
        <v>26</v>
      </c>
      <c r="D13" t="n">
        <v>-0.143554025589198</v>
      </c>
      <c r="E13" t="n">
        <v>0.128362273503804</v>
      </c>
      <c r="F13" s="21" t="n">
        <v>0.909453590086023</v>
      </c>
    </row>
    <row r="14">
      <c r="A14" t="s">
        <v>206</v>
      </c>
      <c r="B14" t="n">
        <v>-6.6738712645159806E-2</v>
      </c>
      <c r="C14" t="n">
        <v>26</v>
      </c>
      <c r="D14" t="n">
        <v>-0.199478320874895</v>
      </c>
      <c r="E14" t="n">
        <v>6.6000895584575003E-2</v>
      </c>
      <c r="F14" s="21" t="n">
        <v>0.310898316180304</v>
      </c>
    </row>
    <row r="15">
      <c r="A15" t="s">
        <v>207</v>
      </c>
      <c r="B15" t="n">
        <v>-4.2816624662358499E-2</v>
      </c>
      <c r="C15" t="n">
        <v>26</v>
      </c>
      <c r="D15" t="n">
        <v>-0.173574034922757</v>
      </c>
      <c r="E15" t="n">
        <v>8.79407855980395E-2</v>
      </c>
      <c r="F15" s="21" t="n">
        <v>0.50683247322198</v>
      </c>
    </row>
    <row r="16">
      <c r="A16" t="s">
        <v>208</v>
      </c>
      <c r="B16" t="n">
        <v>-5.5464281032600198E-2</v>
      </c>
      <c r="C16" t="n">
        <v>29</v>
      </c>
      <c r="D16" t="n">
        <v>-0.204310208274745</v>
      </c>
      <c r="E16" t="n">
        <v>9.33816462095442E-2</v>
      </c>
      <c r="F16" s="21" t="n">
        <v>0.45214769210889699</v>
      </c>
    </row>
    <row r="17">
      <c r="A17" t="s">
        <v>209</v>
      </c>
      <c r="B17" t="n">
        <v>-2.8121212349346399E-2</v>
      </c>
      <c r="C17" t="n">
        <v>29</v>
      </c>
      <c r="D17" t="n">
        <v>-0.15473885378105701</v>
      </c>
      <c r="E17" t="n">
        <v>9.8496429082364695E-2</v>
      </c>
      <c r="F17" s="21" t="n">
        <v>0.65304034944035505</v>
      </c>
    </row>
    <row r="18">
      <c r="A18" t="s">
        <v>210</v>
      </c>
      <c r="B18" t="n">
        <v>-0.155112174842303</v>
      </c>
      <c r="C18" t="n">
        <v>31</v>
      </c>
      <c r="D18" t="n">
        <v>-0.31270552855261902</v>
      </c>
      <c r="E18" t="n">
        <v>2.4811788680131298E-3</v>
      </c>
      <c r="F18" s="21" t="n">
        <v>5.3492374477077699E-2</v>
      </c>
    </row>
    <row r="19">
      <c r="A19" t="s">
        <v>211</v>
      </c>
      <c r="B19" t="n">
        <v>-1.7845692731721401</v>
      </c>
      <c r="C19" t="n">
        <v>31</v>
      </c>
      <c r="D19" t="n">
        <v>-3.9035339069817501</v>
      </c>
      <c r="E19" t="n">
        <v>0.334395360637471</v>
      </c>
      <c r="F19" s="21" t="n">
        <v>9.5834892251268303E-2</v>
      </c>
    </row>
    <row r="20">
      <c r="A20" t="s">
        <v>212</v>
      </c>
      <c r="B20" t="n">
        <v>0.24596949872467799</v>
      </c>
      <c r="C20" t="n">
        <v>28</v>
      </c>
      <c r="D20" t="n">
        <v>-1.3336353746660501</v>
      </c>
      <c r="E20" t="n">
        <v>1.8255743721154001</v>
      </c>
      <c r="F20" s="21" t="n">
        <v>0.75211710578580504</v>
      </c>
    </row>
    <row r="21">
      <c r="A21" t="s">
        <v>213</v>
      </c>
      <c r="B21" t="n">
        <v>0.80104259898957997</v>
      </c>
      <c r="C21" t="n">
        <v>30</v>
      </c>
      <c r="D21" t="n">
        <v>-2.9271233757502602</v>
      </c>
      <c r="E21" t="n">
        <v>4.5292085737294201</v>
      </c>
      <c r="F21" s="21" t="n">
        <v>0.66394517291682298</v>
      </c>
    </row>
    <row r="22">
      <c r="A22" t="s">
        <v>214</v>
      </c>
      <c r="B22" t="n">
        <v>-0.93051094146109803</v>
      </c>
      <c r="C22" t="n">
        <v>30</v>
      </c>
      <c r="D22" t="n">
        <v>-1.80981843153341</v>
      </c>
      <c r="E22" t="n">
        <v>-5.1203451388785098E-2</v>
      </c>
      <c r="F22" s="21" t="n">
        <v>3.8788079361871501E-2</v>
      </c>
    </row>
    <row r="23">
      <c r="A23" t="s">
        <v>215</v>
      </c>
      <c r="B23" t="n">
        <v>-0.133972602739726</v>
      </c>
      <c r="C23" t="n">
        <v>26</v>
      </c>
      <c r="D23" t="n">
        <v>-1.0181266947532399</v>
      </c>
      <c r="E23" t="n">
        <v>0.75018148927378803</v>
      </c>
      <c r="F23" s="21" t="n">
        <v>0.75792958194762305</v>
      </c>
    </row>
    <row r="24">
      <c r="A24" t="s">
        <v>216</v>
      </c>
      <c r="B24" t="n">
        <v>-2.5849891463131498E-2</v>
      </c>
      <c r="C24" t="n">
        <v>31</v>
      </c>
      <c r="D24" t="n">
        <v>-6.54018345697535E-2</v>
      </c>
      <c r="E24" t="n">
        <v>1.37020516434904E-2</v>
      </c>
      <c r="F24" s="21" t="n">
        <v>0.19225880359356101</v>
      </c>
    </row>
    <row r="25">
      <c r="A25" t="s">
        <v>217</v>
      </c>
      <c r="B25" t="n">
        <v>-8.7102861019060605</v>
      </c>
      <c r="C25" t="n">
        <v>31</v>
      </c>
      <c r="D25" t="n">
        <v>-17.0554326143506</v>
      </c>
      <c r="E25" t="n">
        <v>-0.36513958946153702</v>
      </c>
      <c r="F25" s="21" t="n">
        <v>4.1326045691084203E-2</v>
      </c>
    </row>
    <row r="26">
      <c r="A26" t="s">
        <v>218</v>
      </c>
      <c r="B26" t="n">
        <v>-6.0297901424576796</v>
      </c>
      <c r="C26" t="n">
        <v>30</v>
      </c>
      <c r="D26" t="n">
        <v>-15.011115706846599</v>
      </c>
      <c r="E26" t="n">
        <v>2.9515354219312799</v>
      </c>
      <c r="F26" s="21" t="n">
        <v>0.18050799460342001</v>
      </c>
    </row>
    <row r="27">
      <c r="A27" t="s">
        <v>219</v>
      </c>
      <c r="B27" t="n">
        <v>-1.0832620388710099</v>
      </c>
      <c r="C27" t="n">
        <v>30</v>
      </c>
      <c r="D27" t="n">
        <v>-2.0602670765375599</v>
      </c>
      <c r="E27" t="n">
        <v>-0.106257001204469</v>
      </c>
      <c r="F27" s="21" t="n">
        <v>3.0938529364203701E-2</v>
      </c>
    </row>
    <row r="28">
      <c r="A28" t="s">
        <v>220</v>
      </c>
      <c r="B28" t="n">
        <v>-3.7712948996671001</v>
      </c>
      <c r="C28" t="n">
        <v>30</v>
      </c>
      <c r="D28" t="n">
        <v>-9.7647958766144693</v>
      </c>
      <c r="E28" t="n">
        <v>2.2222060772802701</v>
      </c>
      <c r="F28" s="21" t="n">
        <v>0.20860434631764599</v>
      </c>
    </row>
    <row r="29">
      <c r="A29" t="s">
        <v>221</v>
      </c>
      <c r="B29" t="n">
        <v>5.8074111609900001</v>
      </c>
      <c r="C29" t="n">
        <v>27</v>
      </c>
      <c r="D29" t="n">
        <v>-6.5191962268052102</v>
      </c>
      <c r="E29" t="n">
        <v>18.1340185487852</v>
      </c>
      <c r="F29" s="21" t="n">
        <v>0.342286125819044</v>
      </c>
    </row>
    <row r="30">
      <c r="A30" t="s">
        <v>222</v>
      </c>
      <c r="B30" t="n">
        <v>1.33109300770118</v>
      </c>
      <c r="C30" t="n">
        <v>30</v>
      </c>
      <c r="D30" t="n">
        <v>-3.8970546021855199</v>
      </c>
      <c r="E30" t="n">
        <v>6.5592406175878804</v>
      </c>
      <c r="F30" s="21" t="n">
        <v>0.60690383810951198</v>
      </c>
    </row>
    <row r="31">
      <c r="A31" t="s">
        <v>223</v>
      </c>
      <c r="B31" t="n">
        <v>-24.413778610226199</v>
      </c>
      <c r="C31" t="n">
        <v>19</v>
      </c>
      <c r="D31" t="n">
        <v>-50.2571190381504</v>
      </c>
      <c r="E31" t="n">
        <v>1.4295618176979299</v>
      </c>
      <c r="F31" s="21" t="n">
        <v>6.2706961384742202E-2</v>
      </c>
    </row>
    <row r="32">
      <c r="A32" t="s">
        <v>224</v>
      </c>
      <c r="B32" t="n">
        <v>-364.88666674083203</v>
      </c>
      <c r="C32" t="n">
        <v>31</v>
      </c>
      <c r="D32" t="n">
        <v>-725.65901937004901</v>
      </c>
      <c r="E32" t="n">
        <v>-4.1143141116141901</v>
      </c>
      <c r="F32" s="21" t="n">
        <v>4.7597064499234697E-2</v>
      </c>
    </row>
    <row r="33">
      <c r="A33" t="s">
        <v>225</v>
      </c>
      <c r="B33" t="n">
        <v>0.24705263116234299</v>
      </c>
      <c r="C33" t="n">
        <v>31</v>
      </c>
      <c r="D33" t="n">
        <v>-0.37311178236029202</v>
      </c>
      <c r="E33" t="n">
        <v>0.86721704468497796</v>
      </c>
      <c r="F33" s="21" t="n">
        <v>0.42271572819201197</v>
      </c>
    </row>
    <row r="34">
      <c r="A34" t="s">
        <v>226</v>
      </c>
      <c r="B34" t="n">
        <v>-0.36488666674082898</v>
      </c>
      <c r="C34" t="n">
        <v>31</v>
      </c>
      <c r="D34" t="n">
        <v>-0.72565901937004496</v>
      </c>
      <c r="E34" t="n">
        <v>-4.1143141116136697E-3</v>
      </c>
      <c r="F34" s="21" t="n">
        <v>4.7597064499234898E-2</v>
      </c>
    </row>
  </sheetData>
  <conditionalFormatting sqref="F2:F34">
    <cfRule type="cellIs" dxfId="3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64" zoomScaleNormal="100" workbookViewId="0">
      <selection activeCell="L37" sqref="L37"/>
    </sheetView>
  </sheetViews>
  <sheetFormatPr defaultRowHeight="15.0" baseColWidth="10"/>
  <cols>
    <col min="1" max="1" width="17.42578125" hidden="0" customWidth="1"/>
  </cols>
  <sheetData>
    <row r="1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</row>
    <row r="2">
      <c r="A2" t="s">
        <v>237</v>
      </c>
      <c r="B2" t="n">
        <v>2.1052631578948398E-2</v>
      </c>
      <c r="C2" t="n">
        <v>0.19281089854978001</v>
      </c>
      <c r="D2" t="n">
        <v>0.109187975043397</v>
      </c>
      <c r="E2" t="n">
        <v>0.91362796454107098</v>
      </c>
      <c r="F2" s="21" t="n">
        <v>-0.36927262618384998</v>
      </c>
      <c r="G2" t="n">
        <v>0.41137788934174702</v>
      </c>
      <c r="H2" t="s">
        <v>238</v>
      </c>
      <c r="I2" t="n">
        <v>38</v>
      </c>
    </row>
    <row r="3">
      <c r="A3" t="s">
        <v>237</v>
      </c>
      <c r="B3" t="n">
        <v>0.53609022556390895</v>
      </c>
      <c r="C3" t="n">
        <v>0.76767397253428704</v>
      </c>
      <c r="D3" t="n">
        <v>0.69833059963481403</v>
      </c>
      <c r="E3" t="n">
        <v>0.48922224497503503</v>
      </c>
      <c r="F3" s="21" t="n">
        <v>-1.0179844842216199</v>
      </c>
      <c r="G3" t="n">
        <v>2.0901649353494398</v>
      </c>
      <c r="H3" t="s">
        <v>239</v>
      </c>
      <c r="I3" t="n">
        <v>38</v>
      </c>
    </row>
    <row r="4">
      <c r="A4" t="s">
        <v>237</v>
      </c>
      <c r="B4" t="n">
        <v>0.19798607787627301</v>
      </c>
      <c r="C4" t="n">
        <v>0.27365349156837498</v>
      </c>
      <c r="D4" t="n">
        <v>0.723491875588964</v>
      </c>
      <c r="E4" t="n">
        <v>0.47380808695862497</v>
      </c>
      <c r="F4" s="21" t="n">
        <v>-0.35599645338887997</v>
      </c>
      <c r="G4" t="n">
        <v>0.75196860914142505</v>
      </c>
      <c r="H4" t="s">
        <v>240</v>
      </c>
      <c r="I4" t="n">
        <v>38</v>
      </c>
    </row>
    <row r="5">
      <c r="A5" t="s">
        <v>237</v>
      </c>
      <c r="B5" t="n">
        <v>-427.1099375</v>
      </c>
      <c r="C5" t="n">
        <v>366.10720753758602</v>
      </c>
      <c r="D5" t="n">
        <v>-1.16662531823046</v>
      </c>
      <c r="E5" t="n">
        <v>0.25172349782138098</v>
      </c>
      <c r="F5" s="21" t="n">
        <v>-1171.9606517416801</v>
      </c>
      <c r="G5" t="n">
        <v>317.74077674167899</v>
      </c>
      <c r="H5" t="s">
        <v>241</v>
      </c>
      <c r="I5" t="n">
        <v>33</v>
      </c>
    </row>
    <row r="6">
      <c r="A6" t="s">
        <v>237</v>
      </c>
      <c r="B6" t="n">
        <v>-237.460615131579</v>
      </c>
      <c r="C6" t="n">
        <v>255.48666832061599</v>
      </c>
      <c r="D6" t="n">
        <v>-0.92944425121072904</v>
      </c>
      <c r="E6" t="n">
        <v>0.35940828508817002</v>
      </c>
      <c r="F6" s="21" t="n">
        <v>-757.25215012423701</v>
      </c>
      <c r="G6" t="n">
        <v>282.33091986108002</v>
      </c>
      <c r="H6" t="s">
        <v>242</v>
      </c>
      <c r="I6" t="n">
        <v>33</v>
      </c>
    </row>
    <row r="7">
      <c r="A7" t="s">
        <v>237</v>
      </c>
      <c r="B7" t="n">
        <v>-379.88200986842099</v>
      </c>
      <c r="C7" t="n">
        <v>306.82865081913098</v>
      </c>
      <c r="D7" t="n">
        <v>-1.2380917129292199</v>
      </c>
      <c r="E7" t="n">
        <v>0.224418136802324</v>
      </c>
      <c r="F7" s="21" t="n">
        <v>-1004.12959365568</v>
      </c>
      <c r="G7" t="n">
        <v>244.36557391884301</v>
      </c>
      <c r="H7" t="s">
        <v>243</v>
      </c>
      <c r="I7" t="n">
        <v>33</v>
      </c>
    </row>
    <row r="8">
      <c r="A8" t="s">
        <v>237</v>
      </c>
      <c r="B8" t="n">
        <v>-1.1608753289473701</v>
      </c>
      <c r="C8" t="n">
        <v>5.1774810935310098</v>
      </c>
      <c r="D8" t="n">
        <v>-0.224216237196466</v>
      </c>
      <c r="E8" t="n">
        <v>0.82397149904495004</v>
      </c>
      <c r="F8" s="21" t="n">
        <v>-11.6945398159909</v>
      </c>
      <c r="G8" t="n">
        <v>9.3727891580962108</v>
      </c>
      <c r="H8" t="s">
        <v>244</v>
      </c>
      <c r="I8" t="n">
        <v>33</v>
      </c>
    </row>
    <row r="9">
      <c r="A9" t="s">
        <v>237</v>
      </c>
      <c r="B9" t="n">
        <v>1.1608753289473701</v>
      </c>
      <c r="C9" t="n">
        <v>5.1774810935310098</v>
      </c>
      <c r="D9" t="n">
        <v>0.224216237196466</v>
      </c>
      <c r="E9" t="n">
        <v>0.82397149904495004</v>
      </c>
      <c r="F9" s="21" t="n">
        <v>-9.3727891580962108</v>
      </c>
      <c r="G9" t="n">
        <v>11.6945398159909</v>
      </c>
      <c r="H9" t="s">
        <v>245</v>
      </c>
      <c r="I9" t="n">
        <v>33</v>
      </c>
    </row>
    <row r="10">
      <c r="A10" t="s">
        <v>237</v>
      </c>
      <c r="B10" t="n">
        <v>-0.28571441219149402</v>
      </c>
      <c r="C10" t="n">
        <v>0.221772015762249</v>
      </c>
      <c r="D10" t="n">
        <v>-1.28832490974783</v>
      </c>
      <c r="E10" t="n">
        <v>0.206593002252244</v>
      </c>
      <c r="F10" s="21" t="n">
        <v>-0.73691297080596596</v>
      </c>
      <c r="G10" t="n">
        <v>0.16548414642297701</v>
      </c>
      <c r="H10" t="s">
        <v>246</v>
      </c>
      <c r="I10" t="n">
        <v>33</v>
      </c>
    </row>
    <row r="11">
      <c r="A11" t="s">
        <v>237</v>
      </c>
      <c r="B11" t="n">
        <v>-0.27508997283680497</v>
      </c>
      <c r="C11" t="n">
        <v>0.18540485487685199</v>
      </c>
      <c r="D11" t="n">
        <v>-1.48372583349839</v>
      </c>
      <c r="E11" t="n">
        <v>0.14737087628801801</v>
      </c>
      <c r="F11" s="21" t="n">
        <v>-0.65229898630513505</v>
      </c>
      <c r="G11" t="n">
        <v>0.10211904063152399</v>
      </c>
      <c r="H11" t="s">
        <v>247</v>
      </c>
      <c r="I11" t="n">
        <v>33</v>
      </c>
    </row>
    <row r="12">
      <c r="A12" t="s">
        <v>237</v>
      </c>
      <c r="B12" t="n">
        <v>-0.293026364748942</v>
      </c>
      <c r="C12" t="n">
        <v>0.21142340831814799</v>
      </c>
      <c r="D12" t="n">
        <v>-1.3859693544813101</v>
      </c>
      <c r="E12" t="n">
        <v>0.17505128391192401</v>
      </c>
      <c r="F12" s="21" t="n">
        <v>-0.72317052321109199</v>
      </c>
      <c r="G12" t="n">
        <v>0.13711779371320901</v>
      </c>
      <c r="H12" t="s">
        <v>248</v>
      </c>
      <c r="I12" t="n">
        <v>33</v>
      </c>
    </row>
    <row r="13">
      <c r="A13" t="s">
        <v>237</v>
      </c>
      <c r="B13" t="n">
        <v>-1.5132708573704801E-2</v>
      </c>
      <c r="C13" t="n">
        <v>6.7148214438852799E-2</v>
      </c>
      <c r="D13" t="n">
        <v>-0.22536278440412</v>
      </c>
      <c r="E13" t="n">
        <v>0.82308690095370995</v>
      </c>
      <c r="F13" s="21" t="n">
        <v>-0.15174677804595901</v>
      </c>
      <c r="G13" t="n">
        <v>0.12148136089854999</v>
      </c>
      <c r="H13" t="s">
        <v>249</v>
      </c>
      <c r="I13" t="n">
        <v>33</v>
      </c>
    </row>
    <row r="14">
      <c r="A14" t="s">
        <v>237</v>
      </c>
      <c r="B14" t="n">
        <v>-8.8122152530844794E-2</v>
      </c>
      <c r="C14" t="n">
        <v>8.19829477023232E-2</v>
      </c>
      <c r="D14" t="n">
        <v>-1.0748839240425101</v>
      </c>
      <c r="E14" t="n">
        <v>0.29022329513434503</v>
      </c>
      <c r="F14" s="21" t="n">
        <v>-0.25491771376120997</v>
      </c>
      <c r="G14" t="n">
        <v>7.8673408699520803E-2</v>
      </c>
      <c r="H14" t="s">
        <v>250</v>
      </c>
      <c r="I14" t="n">
        <v>33</v>
      </c>
    </row>
    <row r="15">
      <c r="A15" t="s">
        <v>237</v>
      </c>
      <c r="B15" t="n">
        <v>-4.0374616111848803E-2</v>
      </c>
      <c r="C15" t="n">
        <v>7.1909484717630798E-2</v>
      </c>
      <c r="D15" t="n">
        <v>-0.56146440584839497</v>
      </c>
      <c r="E15" t="n">
        <v>0.57827439039582396</v>
      </c>
      <c r="F15" s="21" t="n">
        <v>-0.186675562801568</v>
      </c>
      <c r="G15" t="n">
        <v>0.10592633057787</v>
      </c>
      <c r="H15" t="s">
        <v>251</v>
      </c>
      <c r="I15" t="n">
        <v>33</v>
      </c>
    </row>
    <row r="16">
      <c r="A16" t="s">
        <v>237</v>
      </c>
      <c r="B16" t="n">
        <v>-0.230343360192686</v>
      </c>
      <c r="C16" t="n">
        <v>9.4824814211090805E-2</v>
      </c>
      <c r="D16" t="n">
        <v>-2.4291464434606298</v>
      </c>
      <c r="E16" t="n">
        <v>2.0254148557251599E-2</v>
      </c>
      <c r="F16" s="21" t="n">
        <v>-0.42265699703828502</v>
      </c>
      <c r="G16" t="n">
        <v>-3.8029723347086701E-2</v>
      </c>
      <c r="H16" t="s">
        <v>252</v>
      </c>
      <c r="I16" t="n">
        <v>36</v>
      </c>
    </row>
    <row r="17">
      <c r="A17" t="s">
        <v>237</v>
      </c>
      <c r="B17" t="n">
        <v>-0.25763262313120799</v>
      </c>
      <c r="C17" t="n">
        <v>9.1217937664876403E-2</v>
      </c>
      <c r="D17" t="n">
        <v>-2.8243636035460402</v>
      </c>
      <c r="E17" t="n">
        <v>7.67559272310675E-3</v>
      </c>
      <c r="F17" s="21" t="n">
        <v>-0.44263117529115298</v>
      </c>
      <c r="G17" t="n">
        <v>-7.2634070971263606E-2</v>
      </c>
      <c r="H17" t="s">
        <v>253</v>
      </c>
      <c r="I17" t="n">
        <v>36</v>
      </c>
    </row>
    <row r="18">
      <c r="A18" t="s">
        <v>237</v>
      </c>
      <c r="B18" t="n">
        <v>-8.8847117794486299E-2</v>
      </c>
      <c r="C18" t="n">
        <v>6.5698618805917403E-2</v>
      </c>
      <c r="D18" t="n">
        <v>-1.3523437693104701</v>
      </c>
      <c r="E18" t="n">
        <v>0.184258921413815</v>
      </c>
      <c r="F18" s="21" t="n">
        <v>-0.221847018282263</v>
      </c>
      <c r="G18" t="n">
        <v>4.4152782693290003E-2</v>
      </c>
      <c r="H18" t="s">
        <v>254</v>
      </c>
      <c r="I18" t="n">
        <v>38</v>
      </c>
    </row>
    <row r="19">
      <c r="A19" t="s">
        <v>237</v>
      </c>
      <c r="B19" t="n">
        <v>-1.4629824561403499</v>
      </c>
      <c r="C19" t="n">
        <v>0.89044216049499403</v>
      </c>
      <c r="D19" t="n">
        <v>-1.64298426225358</v>
      </c>
      <c r="E19" t="n">
        <v>0.108636717097501</v>
      </c>
      <c r="F19" s="21" t="n">
        <v>-3.2655883691475802</v>
      </c>
      <c r="G19" t="n">
        <v>0.339623456866881</v>
      </c>
      <c r="H19" t="s">
        <v>255</v>
      </c>
      <c r="I19" t="n">
        <v>38</v>
      </c>
    </row>
    <row r="20">
      <c r="A20" t="s">
        <v>237</v>
      </c>
      <c r="B20" t="n">
        <v>-4.33368421052631</v>
      </c>
      <c r="C20" t="n">
        <v>3.1952101733232201</v>
      </c>
      <c r="D20" t="n">
        <v>-1.3563064635648101</v>
      </c>
      <c r="E20" t="n">
        <v>0.18449493115036</v>
      </c>
      <c r="F20" s="21" t="n">
        <v>-10.842114351931301</v>
      </c>
      <c r="G20" t="n">
        <v>2.1747459308786898</v>
      </c>
      <c r="H20" t="s">
        <v>256</v>
      </c>
      <c r="I20" t="n">
        <v>32</v>
      </c>
    </row>
    <row r="21">
      <c r="A21" t="s">
        <v>237</v>
      </c>
      <c r="B21" t="n">
        <v>0.18157894736842101</v>
      </c>
      <c r="C21" t="n">
        <v>2.4507883460749702</v>
      </c>
      <c r="D21" t="n">
        <v>7.4090015834793105E-2</v>
      </c>
      <c r="E21" t="n">
        <v>0.94133787571804695</v>
      </c>
      <c r="F21" s="21" t="n">
        <v>-4.7841899279282503</v>
      </c>
      <c r="G21" t="n">
        <v>5.1473478226650897</v>
      </c>
      <c r="H21" t="s">
        <v>257</v>
      </c>
      <c r="I21" t="n">
        <v>37</v>
      </c>
    </row>
    <row r="22">
      <c r="A22" t="s">
        <v>237</v>
      </c>
      <c r="B22" t="n">
        <v>-0.44121758303783998</v>
      </c>
      <c r="C22" t="n">
        <v>0.41942050535835002</v>
      </c>
      <c r="D22" t="n">
        <v>-1.0519695088843299</v>
      </c>
      <c r="E22" t="n">
        <v>0.29963565917050999</v>
      </c>
      <c r="F22" s="21" t="n">
        <v>-1.29104424983479</v>
      </c>
      <c r="G22" t="n">
        <v>0.40860908375910898</v>
      </c>
      <c r="H22" t="s">
        <v>258</v>
      </c>
      <c r="I22" t="n">
        <v>37</v>
      </c>
    </row>
    <row r="23">
      <c r="A23" t="s">
        <v>237</v>
      </c>
      <c r="B23" t="n">
        <v>-0.82352941176470595</v>
      </c>
      <c r="C23" t="n">
        <v>0.57292493702744096</v>
      </c>
      <c r="D23" t="n">
        <v>-1.43741240525766</v>
      </c>
      <c r="E23" t="n">
        <v>0.16095015227457801</v>
      </c>
      <c r="F23" s="21" t="n">
        <v>-1.9935982301839701</v>
      </c>
      <c r="G23" t="n">
        <v>0.34653940665455701</v>
      </c>
      <c r="H23" t="s">
        <v>259</v>
      </c>
      <c r="I23" t="n">
        <v>30</v>
      </c>
    </row>
    <row r="24">
      <c r="A24" t="s">
        <v>237</v>
      </c>
      <c r="B24" t="n">
        <v>4.4360902255639101E-2</v>
      </c>
      <c r="C24" t="n">
        <v>2.0540147049559199E-2</v>
      </c>
      <c r="D24" t="n">
        <v>2.1597168778103302</v>
      </c>
      <c r="E24" t="n">
        <v>3.7169583719759001E-2</v>
      </c>
      <c r="F24" s="21" t="n">
        <v>2.77954844261773E-3</v>
      </c>
      <c r="G24" t="n">
        <v>8.5942256068660502E-2</v>
      </c>
      <c r="H24" t="s">
        <v>260</v>
      </c>
      <c r="I24" t="n">
        <v>38</v>
      </c>
    </row>
    <row r="25">
      <c r="A25" t="s">
        <v>237</v>
      </c>
      <c r="B25" t="n">
        <v>2.6077694235589002</v>
      </c>
      <c r="C25" t="n">
        <v>4.0249450212566202</v>
      </c>
      <c r="D25" t="n">
        <v>0.64790187438255498</v>
      </c>
      <c r="E25" t="n">
        <v>0.52094412517808397</v>
      </c>
      <c r="F25" s="21" t="n">
        <v>-5.5403057875395403</v>
      </c>
      <c r="G25" t="n">
        <v>10.755844634657301</v>
      </c>
      <c r="H25" t="s">
        <v>261</v>
      </c>
      <c r="I25" t="n">
        <v>38</v>
      </c>
    </row>
    <row r="26">
      <c r="A26" t="s">
        <v>237</v>
      </c>
      <c r="B26" t="n">
        <v>3.35</v>
      </c>
      <c r="C26" t="n">
        <v>4.7574170487049603</v>
      </c>
      <c r="D26" t="n">
        <v>0.70416361771602898</v>
      </c>
      <c r="E26" t="n">
        <v>0.48586123162218398</v>
      </c>
      <c r="F26" s="21" t="n">
        <v>-6.2984889766406598</v>
      </c>
      <c r="G26" t="n">
        <v>12.998488976640701</v>
      </c>
      <c r="H26" t="s">
        <v>262</v>
      </c>
      <c r="I26" t="n">
        <v>36</v>
      </c>
    </row>
    <row r="27">
      <c r="A27" t="s">
        <v>237</v>
      </c>
      <c r="B27" t="n">
        <v>0.30867023361111101</v>
      </c>
      <c r="C27" t="n">
        <v>0.54927851670966998</v>
      </c>
      <c r="D27" t="n">
        <v>0.56195577329353896</v>
      </c>
      <c r="E27" t="n">
        <v>0.57762848191836502</v>
      </c>
      <c r="F27" s="21" t="n">
        <v>-0.80531823099521105</v>
      </c>
      <c r="G27" t="n">
        <v>1.4226586982174301</v>
      </c>
      <c r="H27" t="s">
        <v>263</v>
      </c>
      <c r="I27" t="n">
        <v>36</v>
      </c>
    </row>
    <row r="28">
      <c r="A28" t="s">
        <v>237</v>
      </c>
      <c r="B28" t="n">
        <v>0.51340325000000098</v>
      </c>
      <c r="C28" t="n">
        <v>3.8251131444772399</v>
      </c>
      <c r="D28" t="n">
        <v>0.134219101660107</v>
      </c>
      <c r="E28" t="n">
        <v>0.89397689392443702</v>
      </c>
      <c r="F28" s="21" t="n">
        <v>-7.2442857713857602</v>
      </c>
      <c r="G28" t="n">
        <v>8.2710922713857595</v>
      </c>
      <c r="H28" t="s">
        <v>264</v>
      </c>
      <c r="I28" t="n">
        <v>36</v>
      </c>
    </row>
    <row r="29">
      <c r="A29" t="s">
        <v>237</v>
      </c>
      <c r="B29" t="n">
        <v>1.0326797385620901</v>
      </c>
      <c r="C29" t="n">
        <v>5.6935303372155399</v>
      </c>
      <c r="D29" t="n">
        <v>0.181377752887697</v>
      </c>
      <c r="E29" t="n">
        <v>0.85718055165082296</v>
      </c>
      <c r="F29" s="21" t="n">
        <v>-10.550894828994799</v>
      </c>
      <c r="G29" t="n">
        <v>12.616254306119</v>
      </c>
      <c r="H29" t="s">
        <v>265</v>
      </c>
      <c r="I29" t="n">
        <v>33</v>
      </c>
    </row>
    <row r="30">
      <c r="A30" t="s">
        <v>237</v>
      </c>
      <c r="B30" t="n">
        <v>2.0840000000000001</v>
      </c>
      <c r="C30" t="n">
        <v>2.84525284958892</v>
      </c>
      <c r="D30" t="n">
        <v>0.73244808464073496</v>
      </c>
      <c r="E30" t="n">
        <v>0.468509879664738</v>
      </c>
      <c r="F30" s="21" t="n">
        <v>-3.68102987924917</v>
      </c>
      <c r="G30" t="n">
        <v>7.8490298792491702</v>
      </c>
      <c r="H30" t="s">
        <v>266</v>
      </c>
      <c r="I30" t="n">
        <v>37</v>
      </c>
    </row>
    <row r="31">
      <c r="A31" t="s">
        <v>237</v>
      </c>
      <c r="B31" t="n">
        <v>3.1449390813157398</v>
      </c>
      <c r="C31" t="n">
        <v>9.7484782085380299</v>
      </c>
      <c r="D31" t="n">
        <v>0.32260820756221298</v>
      </c>
      <c r="E31" t="n">
        <v>0.74990632923230804</v>
      </c>
      <c r="F31" s="21" t="n">
        <v>-17.021324554780701</v>
      </c>
      <c r="G31" t="n">
        <v>23.311202717412201</v>
      </c>
      <c r="H31" t="s">
        <v>267</v>
      </c>
      <c r="I31" t="n">
        <v>23</v>
      </c>
    </row>
    <row r="32">
      <c r="A32" t="s">
        <v>237</v>
      </c>
      <c r="B32" t="n">
        <v>-52.4444444444444</v>
      </c>
      <c r="C32" t="n">
        <v>134.12786258498599</v>
      </c>
      <c r="D32" t="n">
        <v>-0.39100335630275701</v>
      </c>
      <c r="E32" t="n">
        <v>0.69803728112840502</v>
      </c>
      <c r="F32" s="21" t="n">
        <v>-324.21330869634699</v>
      </c>
      <c r="G32" t="n">
        <v>219.32441980745801</v>
      </c>
      <c r="H32" t="s">
        <v>268</v>
      </c>
      <c r="I32" t="n">
        <v>37</v>
      </c>
    </row>
    <row r="33">
      <c r="A33" t="s">
        <v>237</v>
      </c>
      <c r="B33" t="n">
        <v>-9.1873015873016203E-2</v>
      </c>
      <c r="C33" t="n">
        <v>0.319313368057489</v>
      </c>
      <c r="D33" t="n">
        <v>-0.28772054371514899</v>
      </c>
      <c r="E33" t="n">
        <v>0.775166134918713</v>
      </c>
      <c r="F33" s="21" t="n">
        <v>-0.73886335557553995</v>
      </c>
      <c r="G33" t="n">
        <v>0.55511732382950796</v>
      </c>
      <c r="H33" t="s">
        <v>269</v>
      </c>
      <c r="I33" t="n">
        <v>37</v>
      </c>
    </row>
    <row r="34">
      <c r="A34" t="s">
        <v>237</v>
      </c>
      <c r="B34" t="n">
        <v>-5.2444444444444203E-2</v>
      </c>
      <c r="C34" t="n">
        <v>0.13412786258498599</v>
      </c>
      <c r="D34" t="n">
        <v>-0.39100335630275501</v>
      </c>
      <c r="E34" t="n">
        <v>0.69803728112840602</v>
      </c>
      <c r="F34" s="21" t="n">
        <v>-0.32421330869634601</v>
      </c>
      <c r="G34" t="n">
        <v>0.21932441980745801</v>
      </c>
      <c r="H34" t="s">
        <v>270</v>
      </c>
      <c r="I34" t="n">
        <v>37</v>
      </c>
    </row>
    <row r="35">
      <c r="A35" t="s">
        <v>237</v>
      </c>
      <c r="B35" t="n">
        <v>-0.10537220437162299</v>
      </c>
      <c r="C35" t="n">
        <v>0.20629710636276399</v>
      </c>
      <c r="D35" t="n">
        <v>-0.51077887726806304</v>
      </c>
      <c r="E35" t="n">
        <v>0.61254021449671003</v>
      </c>
      <c r="F35" t="n">
        <v>-0.52336984642856998</v>
      </c>
      <c r="G35" t="n">
        <v>0.31262543768532403</v>
      </c>
      <c r="H35" t="s">
        <v>238</v>
      </c>
      <c r="I35" t="n">
        <v>37</v>
      </c>
      <c r="J35" t="s">
        <v>271</v>
      </c>
    </row>
    <row r="36">
      <c r="A36" t="s">
        <v>237</v>
      </c>
      <c r="B36" t="n">
        <v>0.51118034304094195</v>
      </c>
      <c r="C36" t="n">
        <v>0.84739946439770697</v>
      </c>
      <c r="D36" t="n">
        <v>0.60323420596479305</v>
      </c>
      <c r="E36" t="n">
        <v>0.55003314268594905</v>
      </c>
      <c r="F36" t="n">
        <v>-1.2058140648966</v>
      </c>
      <c r="G36" t="n">
        <v>2.2281747509784799</v>
      </c>
      <c r="H36" t="s">
        <v>239</v>
      </c>
      <c r="I36" t="n">
        <v>37</v>
      </c>
      <c r="J36" t="s">
        <v>271</v>
      </c>
    </row>
    <row r="37">
      <c r="A37" t="s">
        <v>237</v>
      </c>
      <c r="B37" t="n">
        <v>0.245088229363572</v>
      </c>
      <c r="C37" t="n">
        <v>0.301463992834618</v>
      </c>
      <c r="D37" t="n">
        <v>0.81299337628698698</v>
      </c>
      <c r="E37" t="n">
        <v>0.42142259902829998</v>
      </c>
      <c r="F37" t="n">
        <v>-0.36573584079259203</v>
      </c>
      <c r="G37" t="n">
        <v>0.85591229951973702</v>
      </c>
      <c r="H37" t="s">
        <v>240</v>
      </c>
      <c r="I37" t="n">
        <v>37</v>
      </c>
      <c r="J37" t="s">
        <v>271</v>
      </c>
    </row>
    <row r="38">
      <c r="A38" t="s">
        <v>237</v>
      </c>
      <c r="B38" t="n">
        <v>-725.638552707391</v>
      </c>
      <c r="C38" t="n">
        <v>407.22593424767803</v>
      </c>
      <c r="D38" t="n">
        <v>-1.7819065331582</v>
      </c>
      <c r="E38" t="n">
        <v>8.42571284343476E-2</v>
      </c>
      <c r="F38" t="n">
        <v>-1555.1306364981799</v>
      </c>
      <c r="G38" t="n">
        <v>103.853531083397</v>
      </c>
      <c r="H38" t="s">
        <v>241</v>
      </c>
      <c r="I38" t="n">
        <v>32</v>
      </c>
      <c r="J38" t="s">
        <v>271</v>
      </c>
    </row>
    <row r="39">
      <c r="A39" t="s">
        <v>237</v>
      </c>
      <c r="B39" t="n">
        <v>-352.65912711154499</v>
      </c>
      <c r="C39" t="n">
        <v>291.46679194336201</v>
      </c>
      <c r="D39" t="n">
        <v>-1.2099461649136101</v>
      </c>
      <c r="E39" t="n">
        <v>0.23516205423403899</v>
      </c>
      <c r="F39" t="n">
        <v>-946.357554132328</v>
      </c>
      <c r="G39" t="n">
        <v>241.039299909238</v>
      </c>
      <c r="H39" t="s">
        <v>242</v>
      </c>
      <c r="I39" t="n">
        <v>32</v>
      </c>
      <c r="J39" t="s">
        <v>271</v>
      </c>
    </row>
    <row r="40">
      <c r="A40" t="s">
        <v>237</v>
      </c>
      <c r="B40" t="n">
        <v>-639.60968127634703</v>
      </c>
      <c r="C40" t="n">
        <v>340.29659006791701</v>
      </c>
      <c r="D40" t="n">
        <v>-1.87956535547033</v>
      </c>
      <c r="E40" t="n">
        <v>6.9299646130356302E-2</v>
      </c>
      <c r="F40" t="n">
        <v>-1332.7711522514601</v>
      </c>
      <c r="G40" t="n">
        <v>53.5517896987676</v>
      </c>
      <c r="H40" t="s">
        <v>243</v>
      </c>
      <c r="I40" t="n">
        <v>32</v>
      </c>
      <c r="J40" t="s">
        <v>271</v>
      </c>
    </row>
    <row r="41">
      <c r="A41" t="s">
        <v>237</v>
      </c>
      <c r="B41" t="n">
        <v>-5.2634647174758804</v>
      </c>
      <c r="C41" t="n">
        <v>5.7709602120079104</v>
      </c>
      <c r="D41" t="n">
        <v>-0.91206047591940298</v>
      </c>
      <c r="E41" t="n">
        <v>0.36855715236401598</v>
      </c>
      <c r="F41" t="n">
        <v>-17.0185259970964</v>
      </c>
      <c r="G41" t="n">
        <v>6.4915965621446201</v>
      </c>
      <c r="H41" t="s">
        <v>244</v>
      </c>
      <c r="I41" t="n">
        <v>32</v>
      </c>
      <c r="J41" t="s">
        <v>271</v>
      </c>
    </row>
    <row r="42">
      <c r="A42" t="s">
        <v>237</v>
      </c>
      <c r="B42" t="n">
        <v>5.2634647174758804</v>
      </c>
      <c r="C42" t="n">
        <v>5.7709602120079104</v>
      </c>
      <c r="D42" t="n">
        <v>0.91206047591940298</v>
      </c>
      <c r="E42" t="n">
        <v>0.36855715236401598</v>
      </c>
      <c r="F42" t="n">
        <v>-6.4915965621446201</v>
      </c>
      <c r="G42" t="n">
        <v>17.0185259970964</v>
      </c>
      <c r="H42" t="s">
        <v>245</v>
      </c>
      <c r="I42" t="n">
        <v>32</v>
      </c>
      <c r="J42" t="s">
        <v>271</v>
      </c>
    </row>
    <row r="43">
      <c r="A43" t="s">
        <v>237</v>
      </c>
      <c r="B43" t="n">
        <v>-0.38222966813511999</v>
      </c>
      <c r="C43" t="n">
        <v>0.25319223915585798</v>
      </c>
      <c r="D43" t="n">
        <v>-1.5096421178211199</v>
      </c>
      <c r="E43" t="n">
        <v>0.140946620054756</v>
      </c>
      <c r="F43" t="n">
        <v>-0.89796538237701296</v>
      </c>
      <c r="G43" t="n">
        <v>0.133506046106772</v>
      </c>
      <c r="H43" t="s">
        <v>246</v>
      </c>
      <c r="I43" t="n">
        <v>32</v>
      </c>
      <c r="J43" t="s">
        <v>271</v>
      </c>
    </row>
    <row r="44">
      <c r="A44" t="s">
        <v>237</v>
      </c>
      <c r="B44" t="n">
        <v>-0.36675057892184099</v>
      </c>
      <c r="C44" t="n">
        <v>0.211049948105208</v>
      </c>
      <c r="D44" t="n">
        <v>-1.7377430424148499</v>
      </c>
      <c r="E44" t="n">
        <v>9.1872717506418095E-2</v>
      </c>
      <c r="F44" t="n">
        <v>-0.79664525535286301</v>
      </c>
      <c r="G44" t="n">
        <v>6.3144097509181193E-2</v>
      </c>
      <c r="H44" t="s">
        <v>247</v>
      </c>
      <c r="I44" t="n">
        <v>32</v>
      </c>
      <c r="J44" t="s">
        <v>271</v>
      </c>
    </row>
    <row r="45">
      <c r="A45" t="s">
        <v>237</v>
      </c>
      <c r="B45" t="n">
        <v>-0.43333407778226402</v>
      </c>
      <c r="C45" t="n">
        <v>0.23812030081914501</v>
      </c>
      <c r="D45" t="n">
        <v>-1.81981156705906</v>
      </c>
      <c r="E45" t="n">
        <v>7.8154007869710607E-2</v>
      </c>
      <c r="F45" t="n">
        <v>-0.91836925827552995</v>
      </c>
      <c r="G45" t="n">
        <v>5.17011027110027E-2</v>
      </c>
      <c r="H45" t="s">
        <v>248</v>
      </c>
      <c r="I45" t="n">
        <v>32</v>
      </c>
      <c r="J45" t="s">
        <v>271</v>
      </c>
    </row>
    <row r="46">
      <c r="A46" t="s">
        <v>237</v>
      </c>
      <c r="B46" t="n">
        <v>4.0214272105083798E-2</v>
      </c>
      <c r="C46" t="n">
        <v>7.4628945909573502E-2</v>
      </c>
      <c r="D46" t="n">
        <v>0.53885622548937895</v>
      </c>
      <c r="E46" t="n">
        <v>0.59371538244187605</v>
      </c>
      <c r="F46" t="n">
        <v>-0.111799916205407</v>
      </c>
      <c r="G46" t="n">
        <v>0.19222846041557401</v>
      </c>
      <c r="H46" t="s">
        <v>249</v>
      </c>
      <c r="I46" t="n">
        <v>32</v>
      </c>
      <c r="J46" t="s">
        <v>271</v>
      </c>
    </row>
    <row r="47">
      <c r="A47" t="s">
        <v>237</v>
      </c>
      <c r="B47" t="n">
        <v>-5.6558129197311402E-2</v>
      </c>
      <c r="C47" t="n">
        <v>9.3803657881436506E-2</v>
      </c>
      <c r="D47" t="n">
        <v>-0.60294161735993601</v>
      </c>
      <c r="E47" t="n">
        <v>0.55079720253226405</v>
      </c>
      <c r="F47" t="n">
        <v>-0.24762992767453301</v>
      </c>
      <c r="G47" t="n">
        <v>0.13451366927990999</v>
      </c>
      <c r="H47" t="s">
        <v>250</v>
      </c>
      <c r="I47" t="n">
        <v>32</v>
      </c>
      <c r="J47" t="s">
        <v>271</v>
      </c>
    </row>
    <row r="48">
      <c r="A48" t="s">
        <v>237</v>
      </c>
      <c r="B48" t="n">
        <v>8.3117342805232794E-3</v>
      </c>
      <c r="C48" t="n">
        <v>8.0909681324534605E-2</v>
      </c>
      <c r="D48" t="n">
        <v>0.102728550458434</v>
      </c>
      <c r="E48" t="n">
        <v>0.91881949229896398</v>
      </c>
      <c r="F48" t="n">
        <v>-0.15649589341815201</v>
      </c>
      <c r="G48" t="n">
        <v>0.173119361979199</v>
      </c>
      <c r="H48" t="s">
        <v>251</v>
      </c>
      <c r="I48" t="n">
        <v>32</v>
      </c>
      <c r="J48" t="s">
        <v>271</v>
      </c>
    </row>
    <row r="49">
      <c r="A49" t="s">
        <v>237</v>
      </c>
      <c r="B49" t="n">
        <v>-0.26127045048546599</v>
      </c>
      <c r="C49" t="n">
        <v>0.102219531955416</v>
      </c>
      <c r="D49" t="n">
        <v>-2.5559738485148098</v>
      </c>
      <c r="E49" t="n">
        <v>1.50878641969148E-2</v>
      </c>
      <c r="F49" t="n">
        <v>-0.46878713273019501</v>
      </c>
      <c r="G49" t="n">
        <v>-5.3753768240737597E-2</v>
      </c>
      <c r="H49" t="s">
        <v>252</v>
      </c>
      <c r="I49" t="n">
        <v>35</v>
      </c>
      <c r="J49" t="s">
        <v>271</v>
      </c>
    </row>
    <row r="50">
      <c r="A50" t="s">
        <v>237</v>
      </c>
      <c r="B50" t="n">
        <v>-0.24861534502542401</v>
      </c>
      <c r="C50" t="n">
        <v>9.9211752025176694E-2</v>
      </c>
      <c r="D50" t="n">
        <v>-2.5059062051674399</v>
      </c>
      <c r="E50" t="n">
        <v>1.7014228343160898E-2</v>
      </c>
      <c r="F50" t="n">
        <v>-0.45002590938734199</v>
      </c>
      <c r="G50" t="n">
        <v>-4.7204780663505398E-2</v>
      </c>
      <c r="H50" t="s">
        <v>253</v>
      </c>
      <c r="I50" t="n">
        <v>35</v>
      </c>
      <c r="J50" t="s">
        <v>271</v>
      </c>
    </row>
    <row r="51">
      <c r="A51" t="s">
        <v>237</v>
      </c>
      <c r="B51" t="n">
        <v>-7.2239448408862997E-2</v>
      </c>
      <c r="C51" t="n">
        <v>7.2199490614878806E-2</v>
      </c>
      <c r="D51" t="n">
        <v>-1.0005534359542401</v>
      </c>
      <c r="E51" t="n">
        <v>0.32354169377926401</v>
      </c>
      <c r="F51" t="n">
        <v>-0.21852951212727101</v>
      </c>
      <c r="G51" t="n">
        <v>7.4050615309545195E-2</v>
      </c>
      <c r="H51" t="s">
        <v>254</v>
      </c>
      <c r="I51" t="n">
        <v>37</v>
      </c>
      <c r="J51" t="s">
        <v>271</v>
      </c>
    </row>
    <row r="52">
      <c r="A52" t="s">
        <v>237</v>
      </c>
      <c r="B52" t="n">
        <v>-1.2484144033842099</v>
      </c>
      <c r="C52" t="n">
        <v>0.97895752022274096</v>
      </c>
      <c r="D52" t="n">
        <v>-1.2752488004792699</v>
      </c>
      <c r="E52" t="n">
        <v>0.21017056271146201</v>
      </c>
      <c r="F52" t="n">
        <v>-3.2319707524851902</v>
      </c>
      <c r="G52" t="n">
        <v>0.73514194571677605</v>
      </c>
      <c r="H52" t="s">
        <v>255</v>
      </c>
      <c r="I52" t="n">
        <v>37</v>
      </c>
      <c r="J52" t="s">
        <v>271</v>
      </c>
    </row>
    <row r="53">
      <c r="A53" t="s">
        <v>237</v>
      </c>
      <c r="B53" t="n">
        <v>-3.4688155617739702</v>
      </c>
      <c r="C53" t="n">
        <v>3.3796722576554701</v>
      </c>
      <c r="D53" t="n">
        <v>-1.0263763161994699</v>
      </c>
      <c r="E53" t="n">
        <v>0.31265683199407002</v>
      </c>
      <c r="F53" t="n">
        <v>-10.361702575675199</v>
      </c>
      <c r="G53" t="n">
        <v>3.4240714521272699</v>
      </c>
      <c r="H53" t="s">
        <v>256</v>
      </c>
      <c r="I53" t="n">
        <v>31</v>
      </c>
      <c r="J53" t="s">
        <v>271</v>
      </c>
    </row>
    <row r="54">
      <c r="A54" t="s">
        <v>237</v>
      </c>
      <c r="B54" t="n">
        <v>-0.88025834744590603</v>
      </c>
      <c r="C54" t="n">
        <v>2.6334502183198798</v>
      </c>
      <c r="D54" t="n">
        <v>-0.33426048509377299</v>
      </c>
      <c r="E54" t="n">
        <v>0.74012256330429904</v>
      </c>
      <c r="F54" t="n">
        <v>-6.2211429371011198</v>
      </c>
      <c r="G54" t="n">
        <v>4.4606262422093002</v>
      </c>
      <c r="H54" t="s">
        <v>257</v>
      </c>
      <c r="I54" t="n">
        <v>36</v>
      </c>
      <c r="J54" t="s">
        <v>271</v>
      </c>
    </row>
    <row r="55">
      <c r="A55" t="s">
        <v>237</v>
      </c>
      <c r="B55" t="n">
        <v>-0.29943572329732199</v>
      </c>
      <c r="C55" t="n">
        <v>0.45355566895256999</v>
      </c>
      <c r="D55" t="n">
        <v>-0.66019618713802297</v>
      </c>
      <c r="E55" t="n">
        <v>0.51333021657322597</v>
      </c>
      <c r="F55" t="n">
        <v>-1.2192892546106999</v>
      </c>
      <c r="G55" t="n">
        <v>0.62041780801605995</v>
      </c>
      <c r="H55" t="s">
        <v>258</v>
      </c>
      <c r="I55" t="n">
        <v>36</v>
      </c>
      <c r="J55" t="s">
        <v>271</v>
      </c>
    </row>
    <row r="56">
      <c r="A56" t="s">
        <v>237</v>
      </c>
      <c r="B56" t="n">
        <v>-0.64794948243389505</v>
      </c>
      <c r="C56" t="n">
        <v>0.65176191224087698</v>
      </c>
      <c r="D56" t="n">
        <v>-0.99415057901454496</v>
      </c>
      <c r="E56" t="n">
        <v>0.32837279242372502</v>
      </c>
      <c r="F56" t="n">
        <v>-1.9809522649620299</v>
      </c>
      <c r="G56" t="n">
        <v>0.68505330009424004</v>
      </c>
      <c r="H56" t="s">
        <v>259</v>
      </c>
      <c r="I56" t="n">
        <v>29</v>
      </c>
      <c r="J56" t="s">
        <v>271</v>
      </c>
    </row>
    <row r="57">
      <c r="A57" t="s">
        <v>237</v>
      </c>
      <c r="B57" t="n">
        <v>4.4758668281040699E-2</v>
      </c>
      <c r="C57" t="n">
        <v>2.26743934653722E-2</v>
      </c>
      <c r="D57" t="n">
        <v>1.9739742255683801</v>
      </c>
      <c r="E57" t="n">
        <v>5.5886176873003499E-2</v>
      </c>
      <c r="F57" t="n">
        <v>-1.18401686225288E-3</v>
      </c>
      <c r="G57" t="n">
        <v>9.0701353424334302E-2</v>
      </c>
      <c r="H57" t="s">
        <v>260</v>
      </c>
      <c r="I57" t="n">
        <v>37</v>
      </c>
      <c r="J57" t="s">
        <v>271</v>
      </c>
    </row>
    <row r="58">
      <c r="A58" t="s">
        <v>237</v>
      </c>
      <c r="B58" t="n">
        <v>4.1855171120006203</v>
      </c>
      <c r="C58" t="n">
        <v>4.3948728256616896</v>
      </c>
      <c r="D58" t="n">
        <v>0.95236364692087305</v>
      </c>
      <c r="E58" t="n">
        <v>0.34709302274398102</v>
      </c>
      <c r="F58" t="n">
        <v>-4.7193410833265501</v>
      </c>
      <c r="G58" t="n">
        <v>13.0903753073278</v>
      </c>
      <c r="H58" t="s">
        <v>261</v>
      </c>
      <c r="I58" t="n">
        <v>37</v>
      </c>
      <c r="J58" t="s">
        <v>271</v>
      </c>
    </row>
    <row r="59">
      <c r="A59" t="s">
        <v>237</v>
      </c>
      <c r="B59" t="n">
        <v>2.0500978735392601</v>
      </c>
      <c r="C59" t="n">
        <v>5.1459625486974296</v>
      </c>
      <c r="D59" t="n">
        <v>0.398389582928113</v>
      </c>
      <c r="E59" t="n">
        <v>0.692763027515226</v>
      </c>
      <c r="F59" t="n">
        <v>-8.3967614950507397</v>
      </c>
      <c r="G59" t="n">
        <v>12.4969572421293</v>
      </c>
      <c r="H59" t="s">
        <v>262</v>
      </c>
      <c r="I59" t="n">
        <v>35</v>
      </c>
      <c r="J59" t="s">
        <v>271</v>
      </c>
    </row>
    <row r="60">
      <c r="A60" t="s">
        <v>237</v>
      </c>
      <c r="B60" t="n">
        <v>1.23937078295265E-2</v>
      </c>
      <c r="C60" t="n">
        <v>0.58220374617378501</v>
      </c>
      <c r="D60" t="n">
        <v>2.1287578293642601E-2</v>
      </c>
      <c r="E60" t="n">
        <v>0.98313715294224902</v>
      </c>
      <c r="F60" t="n">
        <v>-1.16954273313492</v>
      </c>
      <c r="G60" t="n">
        <v>1.1943301487939799</v>
      </c>
      <c r="H60" t="s">
        <v>263</v>
      </c>
      <c r="I60" t="n">
        <v>35</v>
      </c>
      <c r="J60" t="s">
        <v>271</v>
      </c>
    </row>
    <row r="61">
      <c r="A61" t="s">
        <v>237</v>
      </c>
      <c r="B61" t="n">
        <v>-0.62166952819902599</v>
      </c>
      <c r="C61" t="n">
        <v>4.1324160562069601</v>
      </c>
      <c r="D61" t="n">
        <v>-0.150437303442684</v>
      </c>
      <c r="E61" t="n">
        <v>0.88128326589518202</v>
      </c>
      <c r="F61" t="n">
        <v>-9.0109201267337795</v>
      </c>
      <c r="G61" t="n">
        <v>7.76758107033573</v>
      </c>
      <c r="H61" t="s">
        <v>264</v>
      </c>
      <c r="I61" t="n">
        <v>35</v>
      </c>
      <c r="J61" t="s">
        <v>271</v>
      </c>
    </row>
    <row r="62">
      <c r="A62" t="s">
        <v>237</v>
      </c>
      <c r="B62" t="n">
        <v>4.0376409500091297</v>
      </c>
      <c r="C62" t="n">
        <v>6.0916884448806696</v>
      </c>
      <c r="D62" t="n">
        <v>0.66281146623680098</v>
      </c>
      <c r="E62" t="n">
        <v>0.51219762736972196</v>
      </c>
      <c r="F62" t="n">
        <v>-8.3707223613389097</v>
      </c>
      <c r="G62" t="n">
        <v>16.446004261357199</v>
      </c>
      <c r="H62" t="s">
        <v>265</v>
      </c>
      <c r="I62" t="n">
        <v>32</v>
      </c>
      <c r="J62" t="s">
        <v>271</v>
      </c>
    </row>
    <row r="63">
      <c r="A63" t="s">
        <v>237</v>
      </c>
      <c r="B63" t="n">
        <v>3.52866655012176</v>
      </c>
      <c r="C63" t="n">
        <v>3.06589078444035</v>
      </c>
      <c r="D63" t="n">
        <v>1.15094333041152</v>
      </c>
      <c r="E63" t="n">
        <v>0.25734298186913301</v>
      </c>
      <c r="F63" t="n">
        <v>-2.6892481574629601</v>
      </c>
      <c r="G63" t="n">
        <v>9.7465812577064703</v>
      </c>
      <c r="H63" t="s">
        <v>266</v>
      </c>
      <c r="I63" t="n">
        <v>36</v>
      </c>
      <c r="J63" t="s">
        <v>271</v>
      </c>
    </row>
    <row r="64">
      <c r="A64" t="s">
        <v>237</v>
      </c>
      <c r="B64" t="n">
        <v>7.4019172557433199</v>
      </c>
      <c r="C64" t="n">
        <v>9.0907139957020409</v>
      </c>
      <c r="D64" t="n">
        <v>0.81422837185757202</v>
      </c>
      <c r="E64" t="n">
        <v>0.42424031541701102</v>
      </c>
      <c r="F64" t="n">
        <v>-11.451069667961301</v>
      </c>
      <c r="G64" t="n">
        <v>26.254904179448001</v>
      </c>
      <c r="H64" t="s">
        <v>267</v>
      </c>
      <c r="I64" t="n">
        <v>22</v>
      </c>
      <c r="J64" t="s">
        <v>271</v>
      </c>
    </row>
    <row r="65">
      <c r="A65" t="s">
        <v>237</v>
      </c>
      <c r="B65" t="n">
        <v>-83.366090766945504</v>
      </c>
      <c r="C65" t="n">
        <v>146.50452437171299</v>
      </c>
      <c r="D65" t="n">
        <v>-0.56903424057695395</v>
      </c>
      <c r="E65" t="n">
        <v>0.57286626675625496</v>
      </c>
      <c r="F65" t="n">
        <v>-380.49103776171103</v>
      </c>
      <c r="G65" t="n">
        <v>213.75885622781999</v>
      </c>
      <c r="H65" t="s">
        <v>268</v>
      </c>
      <c r="I65" t="n">
        <v>36</v>
      </c>
      <c r="J65" t="s">
        <v>271</v>
      </c>
    </row>
    <row r="66">
      <c r="A66" t="s">
        <v>237</v>
      </c>
      <c r="B66" t="n">
        <v>-0.13119846025711099</v>
      </c>
      <c r="C66" t="n">
        <v>0.34983419778861702</v>
      </c>
      <c r="D66" t="n">
        <v>-0.37503040322086101</v>
      </c>
      <c r="E66" t="n">
        <v>0.70983832473864605</v>
      </c>
      <c r="F66" t="n">
        <v>-0.84069509813001297</v>
      </c>
      <c r="G66" t="n">
        <v>0.57829817761579105</v>
      </c>
      <c r="H66" t="s">
        <v>269</v>
      </c>
      <c r="I66" t="n">
        <v>36</v>
      </c>
      <c r="J66" t="s">
        <v>271</v>
      </c>
    </row>
    <row r="67">
      <c r="A67" t="s">
        <v>237</v>
      </c>
      <c r="B67" t="n">
        <v>-8.3366090766945206E-2</v>
      </c>
      <c r="C67" t="n">
        <v>0.14650452437171299</v>
      </c>
      <c r="D67" t="n">
        <v>-0.56903424057695196</v>
      </c>
      <c r="E67" t="n">
        <v>0.57286626675625696</v>
      </c>
      <c r="F67" t="n">
        <v>-0.38049103776171</v>
      </c>
      <c r="G67" t="n">
        <v>0.21375885622782001</v>
      </c>
      <c r="H67" t="s">
        <v>270</v>
      </c>
      <c r="I67" t="n">
        <v>36</v>
      </c>
      <c r="J67" t="s">
        <v>271</v>
      </c>
    </row>
    <row r="68">
      <c r="A68" t="s">
        <v>237</v>
      </c>
      <c r="B68" t="n">
        <v>1.3943664696466599E-2</v>
      </c>
      <c r="C68" t="n">
        <v>0.195037045157962</v>
      </c>
      <c r="D68" t="n">
        <v>7.1492391023323401E-2</v>
      </c>
      <c r="E68" t="n">
        <v>0.94339093134243102</v>
      </c>
      <c r="F68" t="n">
        <v>-0.38123892621406402</v>
      </c>
      <c r="G68" t="n">
        <v>0.409126255606998</v>
      </c>
      <c r="H68" t="s">
        <v>238</v>
      </c>
      <c r="I68" t="n">
        <v>37</v>
      </c>
      <c r="J68" t="s">
        <v>272</v>
      </c>
    </row>
    <row r="69">
      <c r="A69" t="s">
        <v>237</v>
      </c>
      <c r="B69" t="n">
        <v>0.53311320032621801</v>
      </c>
      <c r="C69" t="n">
        <v>0.77966232771259603</v>
      </c>
      <c r="D69" t="n">
        <v>0.68377447694604798</v>
      </c>
      <c r="E69" t="n">
        <v>0.49837781434075601</v>
      </c>
      <c r="F69" t="n">
        <v>-1.0466327317927699</v>
      </c>
      <c r="G69" t="n">
        <v>2.1128591324452102</v>
      </c>
      <c r="H69" t="s">
        <v>239</v>
      </c>
      <c r="I69" t="n">
        <v>37</v>
      </c>
      <c r="J69" t="s">
        <v>272</v>
      </c>
    </row>
    <row r="70">
      <c r="A70" t="s">
        <v>237</v>
      </c>
      <c r="B70" t="n">
        <v>0.20060094384951499</v>
      </c>
      <c r="C70" t="n">
        <v>0.27786391591614701</v>
      </c>
      <c r="D70" t="n">
        <v>0.72193952636171699</v>
      </c>
      <c r="E70" t="n">
        <v>0.47486977175050998</v>
      </c>
      <c r="F70" t="n">
        <v>-0.36240482832753601</v>
      </c>
      <c r="G70" t="n">
        <v>0.76360671602656605</v>
      </c>
      <c r="H70" t="s">
        <v>240</v>
      </c>
      <c r="I70" t="n">
        <v>37</v>
      </c>
      <c r="J70" t="s">
        <v>272</v>
      </c>
    </row>
    <row r="71">
      <c r="A71" t="s">
        <v>237</v>
      </c>
      <c r="B71" t="n">
        <v>-435.68386102171303</v>
      </c>
      <c r="C71" t="n">
        <v>370.08211872337102</v>
      </c>
      <c r="D71" t="n">
        <v>-1.1772626640936901</v>
      </c>
      <c r="E71" t="n">
        <v>0.24777301166478299</v>
      </c>
      <c r="F71" t="n">
        <v>-1189.51646846771</v>
      </c>
      <c r="G71" t="n">
        <v>318.14874642428202</v>
      </c>
      <c r="H71" t="s">
        <v>241</v>
      </c>
      <c r="I71" t="n">
        <v>32</v>
      </c>
      <c r="J71" t="s">
        <v>272</v>
      </c>
    </row>
    <row r="72">
      <c r="A72" t="s">
        <v>237</v>
      </c>
      <c r="B72" t="n">
        <v>-244.74114922341201</v>
      </c>
      <c r="C72" t="n">
        <v>257.590127282786</v>
      </c>
      <c r="D72" t="n">
        <v>-0.95011851504204503</v>
      </c>
      <c r="E72" t="n">
        <v>0.34917324074998202</v>
      </c>
      <c r="F72" t="n">
        <v>-769.435068431849</v>
      </c>
      <c r="G72" t="n">
        <v>279.95276998502601</v>
      </c>
      <c r="H72" t="s">
        <v>242</v>
      </c>
      <c r="I72" t="n">
        <v>32</v>
      </c>
      <c r="J72" t="s">
        <v>272</v>
      </c>
    </row>
    <row r="73">
      <c r="A73" t="s">
        <v>237</v>
      </c>
      <c r="B73" t="n">
        <v>-390.210679501019</v>
      </c>
      <c r="C73" t="n">
        <v>308.37119048223599</v>
      </c>
      <c r="D73" t="n">
        <v>-1.2653927848798101</v>
      </c>
      <c r="E73" t="n">
        <v>0.21486717932041099</v>
      </c>
      <c r="F73" t="n">
        <v>-1018.34223955677</v>
      </c>
      <c r="G73" t="n">
        <v>237.920880554733</v>
      </c>
      <c r="H73" t="s">
        <v>243</v>
      </c>
      <c r="I73" t="n">
        <v>32</v>
      </c>
      <c r="J73" t="s">
        <v>272</v>
      </c>
    </row>
    <row r="74">
      <c r="A74" t="s">
        <v>237</v>
      </c>
      <c r="B74" t="n">
        <v>-1.3895099348792299</v>
      </c>
      <c r="C74" t="n">
        <v>5.1610460023192699</v>
      </c>
      <c r="D74" t="n">
        <v>-0.26923029445093399</v>
      </c>
      <c r="E74" t="n">
        <v>0.78948088292317098</v>
      </c>
      <c r="F74" t="n">
        <v>-11.9022166241348</v>
      </c>
      <c r="G74" t="n">
        <v>9.1231967543763499</v>
      </c>
      <c r="H74" t="s">
        <v>244</v>
      </c>
      <c r="I74" t="n">
        <v>32</v>
      </c>
      <c r="J74" t="s">
        <v>272</v>
      </c>
    </row>
    <row r="75">
      <c r="A75" t="s">
        <v>237</v>
      </c>
      <c r="B75" t="n">
        <v>1.3895099348792299</v>
      </c>
      <c r="C75" t="n">
        <v>5.1610460023192699</v>
      </c>
      <c r="D75" t="n">
        <v>0.26923029445093399</v>
      </c>
      <c r="E75" t="n">
        <v>0.78948088292317098</v>
      </c>
      <c r="F75" t="n">
        <v>-9.1231967543763499</v>
      </c>
      <c r="G75" t="n">
        <v>11.9022166241348</v>
      </c>
      <c r="H75" t="s">
        <v>245</v>
      </c>
      <c r="I75" t="n">
        <v>32</v>
      </c>
      <c r="J75" t="s">
        <v>272</v>
      </c>
    </row>
    <row r="76">
      <c r="A76" t="s">
        <v>237</v>
      </c>
      <c r="B76" t="n">
        <v>-0.30352573748183098</v>
      </c>
      <c r="C76" t="n">
        <v>0.21076633033205899</v>
      </c>
      <c r="D76" t="n">
        <v>-1.4401054333660901</v>
      </c>
      <c r="E76" t="n">
        <v>0.15955019426370001</v>
      </c>
      <c r="F76" t="n">
        <v>-0.73284270341392799</v>
      </c>
      <c r="G76" t="n">
        <v>0.125791228450266</v>
      </c>
      <c r="H76" t="s">
        <v>246</v>
      </c>
      <c r="I76" t="n">
        <v>32</v>
      </c>
      <c r="J76" t="s">
        <v>272</v>
      </c>
    </row>
    <row r="77">
      <c r="A77" t="s">
        <v>237</v>
      </c>
      <c r="B77" t="n">
        <v>-0.29659193835131797</v>
      </c>
      <c r="C77" t="n">
        <v>0.16190071500594599</v>
      </c>
      <c r="D77" t="n">
        <v>-1.83193717421461</v>
      </c>
      <c r="E77" t="n">
        <v>7.6282949500188005E-2</v>
      </c>
      <c r="F77" t="n">
        <v>-0.62637290307696003</v>
      </c>
      <c r="G77" t="n">
        <v>3.3189026374324603E-2</v>
      </c>
      <c r="H77" t="s">
        <v>247</v>
      </c>
      <c r="I77" t="n">
        <v>32</v>
      </c>
      <c r="J77" t="s">
        <v>272</v>
      </c>
    </row>
    <row r="78">
      <c r="A78" t="s">
        <v>237</v>
      </c>
      <c r="B78" t="n">
        <v>-0.314736634247335</v>
      </c>
      <c r="C78" t="n">
        <v>0.191559531733341</v>
      </c>
      <c r="D78" t="n">
        <v>-1.64302257057854</v>
      </c>
      <c r="E78" t="n">
        <v>0.11017002405488401</v>
      </c>
      <c r="F78" t="n">
        <v>-0.70493063169257997</v>
      </c>
      <c r="G78" t="n">
        <v>7.5457363197910104E-2</v>
      </c>
      <c r="H78" t="s">
        <v>248</v>
      </c>
      <c r="I78" t="n">
        <v>32</v>
      </c>
      <c r="J78" t="s">
        <v>272</v>
      </c>
    </row>
    <row r="79">
      <c r="A79" t="s">
        <v>237</v>
      </c>
      <c r="B79" t="n">
        <v>-1.7130037738810999E-2</v>
      </c>
      <c r="C79" t="n">
        <v>6.7652375486919394E-2</v>
      </c>
      <c r="D79" t="n">
        <v>-0.25320674426462803</v>
      </c>
      <c r="E79" t="n">
        <v>0.80172812142031002</v>
      </c>
      <c r="F79" t="n">
        <v>-0.1549334171324</v>
      </c>
      <c r="G79" t="n">
        <v>0.120673341654778</v>
      </c>
      <c r="H79" t="s">
        <v>249</v>
      </c>
      <c r="I79" t="n">
        <v>32</v>
      </c>
      <c r="J79" t="s">
        <v>272</v>
      </c>
    </row>
    <row r="80">
      <c r="A80" t="s">
        <v>237</v>
      </c>
      <c r="B80" t="n">
        <v>-9.0269656739598997E-2</v>
      </c>
      <c r="C80" t="n">
        <v>8.2760751125171797E-2</v>
      </c>
      <c r="D80" t="n">
        <v>-1.0907302738597699</v>
      </c>
      <c r="E80" t="n">
        <v>0.28353675260540001</v>
      </c>
      <c r="F80" t="n">
        <v>-0.25884779023626497</v>
      </c>
      <c r="G80" t="n">
        <v>7.8308476757066495E-2</v>
      </c>
      <c r="H80" t="s">
        <v>250</v>
      </c>
      <c r="I80" t="n">
        <v>32</v>
      </c>
      <c r="J80" t="s">
        <v>272</v>
      </c>
    </row>
    <row r="81">
      <c r="A81" t="s">
        <v>237</v>
      </c>
      <c r="B81" t="n">
        <v>-4.2513270957260298E-2</v>
      </c>
      <c r="C81" t="n">
        <v>7.2449571484276706E-2</v>
      </c>
      <c r="D81" t="n">
        <v>-0.58679810088989603</v>
      </c>
      <c r="E81" t="n">
        <v>0.56145664703322395</v>
      </c>
      <c r="F81" t="n">
        <v>-0.19008821883297999</v>
      </c>
      <c r="G81" t="n">
        <v>0.105061676918459</v>
      </c>
      <c r="H81" t="s">
        <v>251</v>
      </c>
      <c r="I81" t="n">
        <v>32</v>
      </c>
      <c r="J81" t="s">
        <v>272</v>
      </c>
    </row>
    <row r="82">
      <c r="A82" t="s">
        <v>237</v>
      </c>
      <c r="B82" t="n">
        <v>-0.20568684639589699</v>
      </c>
      <c r="C82" t="n">
        <v>9.1035400468855901E-2</v>
      </c>
      <c r="D82" t="n">
        <v>-2.25941606602</v>
      </c>
      <c r="E82" t="n">
        <v>3.0188810071565399E-2</v>
      </c>
      <c r="F82" t="n">
        <v>-0.39049853463916701</v>
      </c>
      <c r="G82" t="n">
        <v>-2.0875158152628099E-2</v>
      </c>
      <c r="H82" t="s">
        <v>252</v>
      </c>
      <c r="I82" t="n">
        <v>35</v>
      </c>
      <c r="J82" t="s">
        <v>272</v>
      </c>
    </row>
    <row r="83">
      <c r="A83" t="s">
        <v>237</v>
      </c>
      <c r="B83" t="n">
        <v>-0.24490265189487501</v>
      </c>
      <c r="C83" t="n">
        <v>9.1647320855236594E-2</v>
      </c>
      <c r="D83" t="n">
        <v>-2.6722292545978101</v>
      </c>
      <c r="E83" t="n">
        <v>1.1362827722991801E-2</v>
      </c>
      <c r="F83" t="n">
        <v>-0.43095660456599399</v>
      </c>
      <c r="G83" t="n">
        <v>-5.8848699223756198E-2</v>
      </c>
      <c r="H83" t="s">
        <v>253</v>
      </c>
      <c r="I83" t="n">
        <v>35</v>
      </c>
      <c r="J83" t="s">
        <v>272</v>
      </c>
    </row>
    <row r="84">
      <c r="A84" t="s">
        <v>237</v>
      </c>
      <c r="B84" t="n">
        <v>-9.6117317786821199E-2</v>
      </c>
      <c r="C84" t="n">
        <v>6.4250535229981698E-2</v>
      </c>
      <c r="D84" t="n">
        <v>-1.4959769197684301</v>
      </c>
      <c r="E84" t="n">
        <v>0.1431414896131</v>
      </c>
      <c r="F84" t="n">
        <v>-0.22630126801539599</v>
      </c>
      <c r="G84" t="n">
        <v>3.4066632441753897E-2</v>
      </c>
      <c r="H84" t="s">
        <v>254</v>
      </c>
      <c r="I84" t="n">
        <v>37</v>
      </c>
      <c r="J84" t="s">
        <v>272</v>
      </c>
    </row>
    <row r="85">
      <c r="A85" t="s">
        <v>237</v>
      </c>
      <c r="B85" t="n">
        <v>-1.52816487815355</v>
      </c>
      <c r="C85" t="n">
        <v>0.88985299072963298</v>
      </c>
      <c r="D85" t="n">
        <v>-1.7173228545318899</v>
      </c>
      <c r="E85" t="n">
        <v>9.4280931999443304E-2</v>
      </c>
      <c r="F85" t="n">
        <v>-3.3311783011738498</v>
      </c>
      <c r="G85" t="n">
        <v>0.27484854486673999</v>
      </c>
      <c r="H85" t="s">
        <v>255</v>
      </c>
      <c r="I85" t="n">
        <v>37</v>
      </c>
      <c r="J85" t="s">
        <v>272</v>
      </c>
    </row>
    <row r="86">
      <c r="A86" t="s">
        <v>237</v>
      </c>
      <c r="B86" t="n">
        <v>-4.0138551139025598</v>
      </c>
      <c r="C86" t="n">
        <v>3.2119990491802799</v>
      </c>
      <c r="D86" t="n">
        <v>-1.2496439296664501</v>
      </c>
      <c r="E86" t="n">
        <v>0.22078237808197501</v>
      </c>
      <c r="F86" t="n">
        <v>-10.5647703645182</v>
      </c>
      <c r="G86" t="n">
        <v>2.53706013671311</v>
      </c>
      <c r="H86" t="s">
        <v>256</v>
      </c>
      <c r="I86" t="n">
        <v>31</v>
      </c>
      <c r="J86" t="s">
        <v>272</v>
      </c>
    </row>
    <row r="87">
      <c r="A87" t="s">
        <v>237</v>
      </c>
      <c r="B87" t="n">
        <v>0.34975269111013801</v>
      </c>
      <c r="C87" t="n">
        <v>2.45251897891429</v>
      </c>
      <c r="D87" t="n">
        <v>0.14260957575340399</v>
      </c>
      <c r="E87" t="n">
        <v>0.88739372365060598</v>
      </c>
      <c r="F87" t="n">
        <v>-4.6241863373166296</v>
      </c>
      <c r="G87" t="n">
        <v>5.3236917195368996</v>
      </c>
      <c r="H87" t="s">
        <v>257</v>
      </c>
      <c r="I87" t="n">
        <v>36</v>
      </c>
      <c r="J87" t="s">
        <v>272</v>
      </c>
    </row>
    <row r="88">
      <c r="A88" t="s">
        <v>237</v>
      </c>
      <c r="B88" t="n">
        <v>-0.49895159401838401</v>
      </c>
      <c r="C88" t="n">
        <v>0.39975199267421402</v>
      </c>
      <c r="D88" t="n">
        <v>-1.24815286268007</v>
      </c>
      <c r="E88" t="n">
        <v>0.220032271378619</v>
      </c>
      <c r="F88" t="n">
        <v>-1.3096862122409401</v>
      </c>
      <c r="G88" t="n">
        <v>0.31178302420416998</v>
      </c>
      <c r="H88" t="s">
        <v>258</v>
      </c>
      <c r="I88" t="n">
        <v>36</v>
      </c>
      <c r="J88" t="s">
        <v>272</v>
      </c>
    </row>
    <row r="89">
      <c r="A89" t="s">
        <v>237</v>
      </c>
      <c r="B89" t="n">
        <v>-0.82084852527246899</v>
      </c>
      <c r="C89" t="n">
        <v>0.58348200481783896</v>
      </c>
      <c r="D89" t="n">
        <v>-1.40681035318087</v>
      </c>
      <c r="E89" t="n">
        <v>0.17011062493346499</v>
      </c>
      <c r="F89" t="n">
        <v>-2.01420321717693</v>
      </c>
      <c r="G89" t="n">
        <v>0.37250616663199299</v>
      </c>
      <c r="H89" t="s">
        <v>259</v>
      </c>
      <c r="I89" t="n">
        <v>29</v>
      </c>
      <c r="J89" t="s">
        <v>272</v>
      </c>
    </row>
    <row r="90">
      <c r="A90" t="s">
        <v>237</v>
      </c>
      <c r="B90" t="n">
        <v>4.3908633753366802E-2</v>
      </c>
      <c r="C90" t="n">
        <v>2.08317313055431E-2</v>
      </c>
      <c r="D90" t="n">
        <v>2.10777650255518</v>
      </c>
      <c r="E90" t="n">
        <v>4.1885675888420397E-2</v>
      </c>
      <c r="F90" t="n">
        <v>1.6995367902278499E-3</v>
      </c>
      <c r="G90" t="n">
        <v>8.6117730716505705E-2</v>
      </c>
      <c r="H90" t="s">
        <v>260</v>
      </c>
      <c r="I90" t="n">
        <v>37</v>
      </c>
      <c r="J90" t="s">
        <v>272</v>
      </c>
    </row>
    <row r="91">
      <c r="A91" t="s">
        <v>237</v>
      </c>
      <c r="B91" t="n">
        <v>2.6074181096487199</v>
      </c>
      <c r="C91" t="n">
        <v>4.0879832614592901</v>
      </c>
      <c r="D91" t="n">
        <v>0.63782504547681196</v>
      </c>
      <c r="E91" t="n">
        <v>0.52751544336503198</v>
      </c>
      <c r="F91" t="n">
        <v>-5.6756227637092502</v>
      </c>
      <c r="G91" t="n">
        <v>10.890458983006701</v>
      </c>
      <c r="H91" t="s">
        <v>261</v>
      </c>
      <c r="I91" t="n">
        <v>37</v>
      </c>
      <c r="J91" t="s">
        <v>272</v>
      </c>
    </row>
    <row r="92">
      <c r="A92" t="s">
        <v>237</v>
      </c>
      <c r="B92" t="n">
        <v>3.4241892383934198</v>
      </c>
      <c r="C92" t="n">
        <v>4.8334731729867304</v>
      </c>
      <c r="D92" t="n">
        <v>0.70843244926453597</v>
      </c>
      <c r="E92" t="n">
        <v>0.48336866230766901</v>
      </c>
      <c r="F92" t="n">
        <v>-6.3882829710722904</v>
      </c>
      <c r="G92" t="n">
        <v>13.236661447859101</v>
      </c>
      <c r="H92" t="s">
        <v>262</v>
      </c>
      <c r="I92" t="n">
        <v>35</v>
      </c>
      <c r="J92" t="s">
        <v>272</v>
      </c>
    </row>
    <row r="93">
      <c r="A93" t="s">
        <v>237</v>
      </c>
      <c r="B93" t="n">
        <v>0.29661484487835499</v>
      </c>
      <c r="C93" t="n">
        <v>0.55768431638742699</v>
      </c>
      <c r="D93" t="n">
        <v>0.531868722433814</v>
      </c>
      <c r="E93" t="n">
        <v>0.59817701356836095</v>
      </c>
      <c r="F93" t="n">
        <v>-0.83554450728063201</v>
      </c>
      <c r="G93" t="n">
        <v>1.42877419703734</v>
      </c>
      <c r="H93" t="s">
        <v>263</v>
      </c>
      <c r="I93" t="n">
        <v>35</v>
      </c>
      <c r="J93" t="s">
        <v>272</v>
      </c>
    </row>
    <row r="94">
      <c r="A94" t="s">
        <v>237</v>
      </c>
      <c r="B94" t="n">
        <v>0.40780245211008698</v>
      </c>
      <c r="C94" t="n">
        <v>3.88057366009591</v>
      </c>
      <c r="D94" t="n">
        <v>0.10508818742536299</v>
      </c>
      <c r="E94" t="n">
        <v>0.91690578580595505</v>
      </c>
      <c r="F94" t="n">
        <v>-7.47018090141008</v>
      </c>
      <c r="G94" t="n">
        <v>8.2857858056302494</v>
      </c>
      <c r="H94" t="s">
        <v>264</v>
      </c>
      <c r="I94" t="n">
        <v>35</v>
      </c>
      <c r="J94" t="s">
        <v>272</v>
      </c>
    </row>
    <row r="95">
      <c r="A95" t="s">
        <v>237</v>
      </c>
      <c r="B95" t="n">
        <v>1.01904593549404</v>
      </c>
      <c r="C95" t="n">
        <v>5.7736075652360697</v>
      </c>
      <c r="D95" t="n">
        <v>0.17650072748793999</v>
      </c>
      <c r="E95" t="n">
        <v>0.86101290490354399</v>
      </c>
      <c r="F95" t="n">
        <v>-10.7414078261888</v>
      </c>
      <c r="G95" t="n">
        <v>12.779499697176901</v>
      </c>
      <c r="H95" t="s">
        <v>265</v>
      </c>
      <c r="I95" t="n">
        <v>32</v>
      </c>
      <c r="J95" t="s">
        <v>272</v>
      </c>
    </row>
    <row r="96">
      <c r="A96" t="s">
        <v>237</v>
      </c>
      <c r="B96" t="n">
        <v>2.4025759672837101</v>
      </c>
      <c r="C96" t="n">
        <v>2.7717082259805399</v>
      </c>
      <c r="D96" t="n">
        <v>0.86682138645158302</v>
      </c>
      <c r="E96" t="n">
        <v>0.39178089497221402</v>
      </c>
      <c r="F96" t="n">
        <v>-3.2187088582955901</v>
      </c>
      <c r="G96" t="n">
        <v>8.0238607928629992</v>
      </c>
      <c r="H96" t="s">
        <v>266</v>
      </c>
      <c r="I96" t="n">
        <v>36</v>
      </c>
      <c r="J96" t="s">
        <v>272</v>
      </c>
    </row>
    <row r="97">
      <c r="A97" t="s">
        <v>237</v>
      </c>
      <c r="B97" t="n">
        <v>4.7908992951342402</v>
      </c>
      <c r="C97" t="n">
        <v>10.175603869235699</v>
      </c>
      <c r="D97" t="n">
        <v>0.47082211107084898</v>
      </c>
      <c r="E97" t="n">
        <v>0.64240258604545097</v>
      </c>
      <c r="F97" t="n">
        <v>-16.312011518933598</v>
      </c>
      <c r="G97" t="n">
        <v>25.8938101092021</v>
      </c>
      <c r="H97" t="s">
        <v>267</v>
      </c>
      <c r="I97" t="n">
        <v>22</v>
      </c>
      <c r="J97" t="s">
        <v>272</v>
      </c>
    </row>
    <row r="98">
      <c r="A98" t="s">
        <v>237</v>
      </c>
      <c r="B98" t="n">
        <v>-62.399343797468902</v>
      </c>
      <c r="C98" t="n">
        <v>129.892440360932</v>
      </c>
      <c r="D98" t="n">
        <v>-0.48039242025232298</v>
      </c>
      <c r="E98" t="n">
        <v>0.63385481365664098</v>
      </c>
      <c r="F98" t="n">
        <v>-325.83342286618699</v>
      </c>
      <c r="G98" t="n">
        <v>201.03473527124899</v>
      </c>
      <c r="H98" t="s">
        <v>268</v>
      </c>
      <c r="I98" t="n">
        <v>36</v>
      </c>
      <c r="J98" t="s">
        <v>272</v>
      </c>
    </row>
    <row r="99">
      <c r="A99" t="s">
        <v>237</v>
      </c>
      <c r="B99" t="n">
        <v>-0.105433227231747</v>
      </c>
      <c r="C99" t="n">
        <v>0.31923192423173102</v>
      </c>
      <c r="D99" t="n">
        <v>-0.33027156505567001</v>
      </c>
      <c r="E99" t="n">
        <v>0.74310917084003802</v>
      </c>
      <c r="F99" t="n">
        <v>-0.75286557768756601</v>
      </c>
      <c r="G99" t="n">
        <v>0.54199912322407295</v>
      </c>
      <c r="H99" t="s">
        <v>269</v>
      </c>
      <c r="I99" t="n">
        <v>36</v>
      </c>
      <c r="J99" t="s">
        <v>272</v>
      </c>
    </row>
    <row r="100">
      <c r="A100" t="s">
        <v>237</v>
      </c>
      <c r="B100" t="n">
        <v>-6.2399343797468698E-2</v>
      </c>
      <c r="C100" t="n">
        <v>0.129892440360932</v>
      </c>
      <c r="D100" t="n">
        <v>-0.48039242025232198</v>
      </c>
      <c r="E100" t="n">
        <v>0.63385481365664198</v>
      </c>
      <c r="F100" t="n">
        <v>-0.32583342286618699</v>
      </c>
      <c r="G100" t="n">
        <v>0.20103473527124899</v>
      </c>
      <c r="H100" t="s">
        <v>270</v>
      </c>
      <c r="I100" t="n">
        <v>36</v>
      </c>
      <c r="J100" t="s">
        <v>272</v>
      </c>
    </row>
  </sheetData>
  <conditionalFormatting sqref="E1:E100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L37" sqref="L37"/>
    </sheetView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</row>
    <row r="2">
      <c r="A2" t="s">
        <v>281</v>
      </c>
      <c r="B2" t="n">
        <v>-0.11622639965142401</v>
      </c>
      <c r="C2" t="n">
        <v>31</v>
      </c>
      <c r="D2" t="n">
        <v>-0.61409603240673705</v>
      </c>
      <c r="E2" t="n">
        <v>0.38164323310388998</v>
      </c>
      <c r="F2" s="21" t="n">
        <v>0.63732799795522099</v>
      </c>
      <c r="G2" t="s">
        <v>282</v>
      </c>
      <c r="H2" s="21" t="n">
        <v>0.66464325484266795</v>
      </c>
    </row>
    <row r="3">
      <c r="A3" t="s">
        <v>283</v>
      </c>
      <c r="B3" t="n">
        <v>-0.58792628769986399</v>
      </c>
      <c r="C3" t="n">
        <v>31</v>
      </c>
      <c r="D3" t="n">
        <v>-3.32747922976493</v>
      </c>
      <c r="E3" t="n">
        <v>2.1516266543652001</v>
      </c>
      <c r="F3" s="21" t="n">
        <v>0.66464325484266795</v>
      </c>
      <c r="G3" t="s">
        <v>282</v>
      </c>
      <c r="H3" s="21" t="n">
        <v>0.66464325484266795</v>
      </c>
    </row>
    <row r="4">
      <c r="A4" t="s">
        <v>284</v>
      </c>
      <c r="B4" t="n">
        <v>-0.22881984469026201</v>
      </c>
      <c r="C4" t="n">
        <v>31</v>
      </c>
      <c r="D4" t="n">
        <v>-1.2047196563928799</v>
      </c>
      <c r="E4" t="n">
        <v>0.74707996701236101</v>
      </c>
      <c r="F4" s="21" t="n">
        <v>0.63585885181226398</v>
      </c>
      <c r="G4" t="s">
        <v>282</v>
      </c>
      <c r="H4" s="21" t="n">
        <v>0.66464325484266795</v>
      </c>
    </row>
    <row r="5">
      <c r="A5" t="s">
        <v>285</v>
      </c>
      <c r="B5" t="n">
        <v>-308.66893042678402</v>
      </c>
      <c r="C5" t="n">
        <v>26</v>
      </c>
      <c r="D5" t="n">
        <v>-959.81056257684804</v>
      </c>
      <c r="E5" t="n">
        <v>342.47270172328001</v>
      </c>
      <c r="F5" s="21" t="n">
        <v>0.33883287043115901</v>
      </c>
      <c r="G5" t="s">
        <v>286</v>
      </c>
      <c r="H5" s="21" t="n">
        <v>0.91563941737764099</v>
      </c>
    </row>
    <row r="6">
      <c r="A6" t="s">
        <v>287</v>
      </c>
      <c r="B6" t="n">
        <v>4.3935832658702401</v>
      </c>
      <c r="C6" t="n">
        <v>26</v>
      </c>
      <c r="D6" t="n">
        <v>-368.55248979164401</v>
      </c>
      <c r="E6" t="n">
        <v>377.33965632338499</v>
      </c>
      <c r="F6" s="21" t="n">
        <v>0.98086547748765796</v>
      </c>
      <c r="G6" t="s">
        <v>286</v>
      </c>
      <c r="H6" s="21" t="n">
        <v>0.98086547748765796</v>
      </c>
    </row>
    <row r="7">
      <c r="A7" t="s">
        <v>288</v>
      </c>
      <c r="B7" t="n">
        <v>-80.376321690444598</v>
      </c>
      <c r="C7" t="n">
        <v>26</v>
      </c>
      <c r="D7" t="n">
        <v>-549.49089250242002</v>
      </c>
      <c r="E7" t="n">
        <v>388.738249121531</v>
      </c>
      <c r="F7" s="21" t="n">
        <v>0.72753701222420497</v>
      </c>
      <c r="G7" t="s">
        <v>286</v>
      </c>
      <c r="H7" s="21" t="n">
        <v>0.94579811589146601</v>
      </c>
    </row>
    <row r="8">
      <c r="A8" t="s">
        <v>289</v>
      </c>
      <c r="B8" t="n">
        <v>5.5397399003184598</v>
      </c>
      <c r="C8" t="n">
        <v>26</v>
      </c>
      <c r="D8" t="n">
        <v>-2.8816023526911398</v>
      </c>
      <c r="E8" t="n">
        <v>13.9610821533281</v>
      </c>
      <c r="F8" s="21" t="n">
        <v>0.18796589546164699</v>
      </c>
      <c r="G8" t="s">
        <v>286</v>
      </c>
      <c r="H8" s="21" t="n">
        <v>0.91563941737764099</v>
      </c>
    </row>
    <row r="9">
      <c r="A9" t="s">
        <v>290</v>
      </c>
      <c r="B9" t="n">
        <v>-5.5397390955394998</v>
      </c>
      <c r="C9" t="n">
        <v>26</v>
      </c>
      <c r="D9" t="n">
        <v>-13.9610812376861</v>
      </c>
      <c r="E9" t="n">
        <v>2.8816030466071498</v>
      </c>
      <c r="F9" s="21" t="n">
        <v>0.18796595186255199</v>
      </c>
      <c r="G9" t="s">
        <v>286</v>
      </c>
      <c r="H9" s="21" t="n">
        <v>0.91563941737764099</v>
      </c>
    </row>
    <row r="10">
      <c r="A10" t="s">
        <v>291</v>
      </c>
      <c r="B10" t="n">
        <v>-5.9858679777926296E-3</v>
      </c>
      <c r="C10" t="n">
        <v>26</v>
      </c>
      <c r="D10" t="n">
        <v>-0.40504868638748098</v>
      </c>
      <c r="E10" t="n">
        <v>0.393076950431896</v>
      </c>
      <c r="F10" s="21" t="n">
        <v>0.97563854074302703</v>
      </c>
      <c r="G10" t="s">
        <v>286</v>
      </c>
      <c r="H10" s="21" t="n">
        <v>0.98086547748765796</v>
      </c>
    </row>
    <row r="11">
      <c r="A11" t="s">
        <v>292</v>
      </c>
      <c r="B11" t="n">
        <v>0.13409556071173601</v>
      </c>
      <c r="C11" t="n">
        <v>26</v>
      </c>
      <c r="D11" t="n">
        <v>-0.18825464002926001</v>
      </c>
      <c r="E11" t="n">
        <v>0.45644576145273102</v>
      </c>
      <c r="F11" s="21" t="n">
        <v>0.40031432173635101</v>
      </c>
      <c r="G11" t="s">
        <v>286</v>
      </c>
      <c r="H11" s="21" t="n">
        <v>0.91563941737764099</v>
      </c>
    </row>
    <row r="12">
      <c r="A12" t="s">
        <v>293</v>
      </c>
      <c r="B12" t="n">
        <v>0.10088242512271001</v>
      </c>
      <c r="C12" t="n">
        <v>26</v>
      </c>
      <c r="D12" t="n">
        <v>-0.253480728170418</v>
      </c>
      <c r="E12" t="n">
        <v>0.45524557841583702</v>
      </c>
      <c r="F12" s="21" t="n">
        <v>0.563470410693933</v>
      </c>
      <c r="G12" t="s">
        <v>286</v>
      </c>
      <c r="H12" s="21" t="n">
        <v>0.91563941737764099</v>
      </c>
    </row>
    <row r="13">
      <c r="A13" t="s">
        <v>294</v>
      </c>
      <c r="B13" t="n">
        <v>-7.5958760426974104E-3</v>
      </c>
      <c r="C13" t="n">
        <v>26</v>
      </c>
      <c r="D13" t="n">
        <v>-0.143554025589198</v>
      </c>
      <c r="E13" t="n">
        <v>0.128362273503804</v>
      </c>
      <c r="F13" s="21" t="n">
        <v>0.909453590086023</v>
      </c>
      <c r="G13" t="s">
        <v>286</v>
      </c>
      <c r="H13" s="21" t="n">
        <v>0.98086547748765796</v>
      </c>
    </row>
    <row r="14">
      <c r="A14" t="s">
        <v>295</v>
      </c>
      <c r="B14" t="n">
        <v>-6.6738712645159806E-2</v>
      </c>
      <c r="C14" t="n">
        <v>26</v>
      </c>
      <c r="D14" t="n">
        <v>-0.199478320874895</v>
      </c>
      <c r="E14" t="n">
        <v>6.6000895584575003E-2</v>
      </c>
      <c r="F14" s="21" t="n">
        <v>0.310898316180304</v>
      </c>
      <c r="G14" t="s">
        <v>286</v>
      </c>
      <c r="H14" s="21" t="n">
        <v>0.91563941737764099</v>
      </c>
    </row>
    <row r="15">
      <c r="A15" t="s">
        <v>296</v>
      </c>
      <c r="B15" t="n">
        <v>-4.2816624662358499E-2</v>
      </c>
      <c r="C15" t="n">
        <v>26</v>
      </c>
      <c r="D15" t="n">
        <v>-0.173574034922757</v>
      </c>
      <c r="E15" t="n">
        <v>8.79407855980395E-2</v>
      </c>
      <c r="F15" s="21" t="n">
        <v>0.50683247322198</v>
      </c>
      <c r="G15" t="s">
        <v>286</v>
      </c>
      <c r="H15" s="21" t="n">
        <v>0.91563941737764099</v>
      </c>
    </row>
    <row r="16">
      <c r="A16" t="s">
        <v>297</v>
      </c>
      <c r="B16" t="n">
        <v>-5.5464281032600198E-2</v>
      </c>
      <c r="C16" t="n">
        <v>29</v>
      </c>
      <c r="D16" t="n">
        <v>-0.204310208274745</v>
      </c>
      <c r="E16" t="n">
        <v>9.33816462095442E-2</v>
      </c>
      <c r="F16" s="21" t="n">
        <v>0.45214769210889699</v>
      </c>
      <c r="G16" t="s">
        <v>286</v>
      </c>
      <c r="H16" s="21" t="n">
        <v>0.91563941737764099</v>
      </c>
    </row>
    <row r="17">
      <c r="A17" t="s">
        <v>298</v>
      </c>
      <c r="B17" t="n">
        <v>-2.8121212349346399E-2</v>
      </c>
      <c r="C17" t="n">
        <v>29</v>
      </c>
      <c r="D17" t="n">
        <v>-0.15473885378105701</v>
      </c>
      <c r="E17" t="n">
        <v>9.8496429082364695E-2</v>
      </c>
      <c r="F17" s="21" t="n">
        <v>0.65304034944035505</v>
      </c>
      <c r="G17" t="s">
        <v>286</v>
      </c>
      <c r="H17" s="21" t="n">
        <v>0.94328050474717895</v>
      </c>
    </row>
    <row r="18">
      <c r="A18" t="s">
        <v>299</v>
      </c>
      <c r="B18" t="n">
        <v>-0.155112174842303</v>
      </c>
      <c r="C18" t="n">
        <v>31</v>
      </c>
      <c r="D18" t="n">
        <v>-0.31270552855261902</v>
      </c>
      <c r="E18" t="n">
        <v>2.4811788680131298E-3</v>
      </c>
      <c r="F18" s="21" t="n">
        <v>5.3492374477077699E-2</v>
      </c>
      <c r="G18" t="s">
        <v>300</v>
      </c>
      <c r="H18" s="21" t="n">
        <v>0.16047712343123299</v>
      </c>
    </row>
    <row r="19">
      <c r="A19" t="s">
        <v>301</v>
      </c>
      <c r="B19" t="n">
        <v>-1.7845692731721401</v>
      </c>
      <c r="C19" t="n">
        <v>31</v>
      </c>
      <c r="D19" t="n">
        <v>-3.9035339069817501</v>
      </c>
      <c r="E19" t="n">
        <v>0.334395360637471</v>
      </c>
      <c r="F19" s="21" t="n">
        <v>9.5834892251268303E-2</v>
      </c>
      <c r="G19" t="s">
        <v>300</v>
      </c>
      <c r="H19" s="21" t="n">
        <v>0.230003741403044</v>
      </c>
    </row>
    <row r="20">
      <c r="A20" t="s">
        <v>302</v>
      </c>
      <c r="B20" t="n">
        <v>0.24596949872467799</v>
      </c>
      <c r="C20" t="n">
        <v>28</v>
      </c>
      <c r="D20" t="n">
        <v>-1.3336353746660501</v>
      </c>
      <c r="E20" t="n">
        <v>1.8255743721154001</v>
      </c>
      <c r="F20" s="21" t="n">
        <v>0.75211710578580504</v>
      </c>
      <c r="G20" t="s">
        <v>300</v>
      </c>
      <c r="H20" s="21" t="n">
        <v>0.75792958194762305</v>
      </c>
    </row>
    <row r="21">
      <c r="A21" t="s">
        <v>303</v>
      </c>
      <c r="B21" t="n">
        <v>0.80104259898957997</v>
      </c>
      <c r="C21" t="n">
        <v>30</v>
      </c>
      <c r="D21" t="n">
        <v>-2.9271233757502602</v>
      </c>
      <c r="E21" t="n">
        <v>4.5292085737294201</v>
      </c>
      <c r="F21" s="21" t="n">
        <v>0.66394517291682298</v>
      </c>
      <c r="G21" t="s">
        <v>300</v>
      </c>
      <c r="H21" s="21" t="n">
        <v>0.75792958194762305</v>
      </c>
    </row>
    <row r="22">
      <c r="A22" t="s">
        <v>304</v>
      </c>
      <c r="B22" t="n">
        <v>-0.93051094146109803</v>
      </c>
      <c r="C22" t="n">
        <v>30</v>
      </c>
      <c r="D22" t="n">
        <v>-1.80981843153341</v>
      </c>
      <c r="E22" t="n">
        <v>-5.1203451388785098E-2</v>
      </c>
      <c r="F22" s="21" t="n">
        <v>3.8788079361871501E-2</v>
      </c>
      <c r="G22" t="s">
        <v>300</v>
      </c>
      <c r="H22" s="21" t="n">
        <v>0.16047712343123299</v>
      </c>
    </row>
    <row r="23">
      <c r="A23" t="s">
        <v>305</v>
      </c>
      <c r="B23" t="n">
        <v>-0.133972602739726</v>
      </c>
      <c r="C23" t="n">
        <v>26</v>
      </c>
      <c r="D23" t="n">
        <v>-1.0181266947532399</v>
      </c>
      <c r="E23" t="n">
        <v>0.75018148927378803</v>
      </c>
      <c r="F23" s="21" t="n">
        <v>0.75792958194762305</v>
      </c>
      <c r="G23" t="s">
        <v>300</v>
      </c>
      <c r="H23" s="21" t="n">
        <v>0.75792958194762305</v>
      </c>
    </row>
    <row r="24">
      <c r="A24" t="s">
        <v>306</v>
      </c>
      <c r="B24" t="n">
        <v>-2.5849891463131498E-2</v>
      </c>
      <c r="C24" t="n">
        <v>31</v>
      </c>
      <c r="D24" t="n">
        <v>-6.54018345697535E-2</v>
      </c>
      <c r="E24" t="n">
        <v>1.37020516434904E-2</v>
      </c>
      <c r="F24" s="21" t="n">
        <v>0.19225880359356101</v>
      </c>
      <c r="G24" t="s">
        <v>300</v>
      </c>
      <c r="H24" s="21" t="n">
        <v>0.31290651947647002</v>
      </c>
    </row>
    <row r="25">
      <c r="A25" t="s">
        <v>307</v>
      </c>
      <c r="B25" t="n">
        <v>-8.7102861019060605</v>
      </c>
      <c r="C25" t="n">
        <v>31</v>
      </c>
      <c r="D25" t="n">
        <v>-17.0554326143506</v>
      </c>
      <c r="E25" t="n">
        <v>-0.36513958946153702</v>
      </c>
      <c r="F25" s="21" t="n">
        <v>4.1326045691084203E-2</v>
      </c>
      <c r="G25" t="s">
        <v>300</v>
      </c>
      <c r="H25" s="21" t="n">
        <v>0.16047712343123299</v>
      </c>
    </row>
    <row r="26">
      <c r="A26" t="s">
        <v>308</v>
      </c>
      <c r="B26" t="n">
        <v>-6.0297901424576796</v>
      </c>
      <c r="C26" t="n">
        <v>30</v>
      </c>
      <c r="D26" t="n">
        <v>-15.011115706846599</v>
      </c>
      <c r="E26" t="n">
        <v>2.9515354219312799</v>
      </c>
      <c r="F26" s="21" t="n">
        <v>0.18050799460342001</v>
      </c>
      <c r="G26" t="s">
        <v>300</v>
      </c>
      <c r="H26" s="21" t="n">
        <v>0.31290651947647002</v>
      </c>
    </row>
    <row r="27">
      <c r="A27" t="s">
        <v>309</v>
      </c>
      <c r="B27" t="n">
        <v>-1.0832620388710099</v>
      </c>
      <c r="C27" t="n">
        <v>30</v>
      </c>
      <c r="D27" t="n">
        <v>-2.0602670765375599</v>
      </c>
      <c r="E27" t="n">
        <v>-0.106257001204469</v>
      </c>
      <c r="F27" s="21" t="n">
        <v>3.0938529364203701E-2</v>
      </c>
      <c r="G27" t="s">
        <v>300</v>
      </c>
      <c r="H27" s="21" t="n">
        <v>0.16047712343123299</v>
      </c>
    </row>
    <row r="28">
      <c r="A28" t="s">
        <v>310</v>
      </c>
      <c r="B28" t="n">
        <v>-3.7712948996671001</v>
      </c>
      <c r="C28" t="n">
        <v>30</v>
      </c>
      <c r="D28" t="n">
        <v>-9.7647958766144693</v>
      </c>
      <c r="E28" t="n">
        <v>2.2222060772802701</v>
      </c>
      <c r="F28" s="21" t="n">
        <v>0.20860434631764599</v>
      </c>
      <c r="G28" t="s">
        <v>300</v>
      </c>
      <c r="H28" s="21" t="n">
        <v>0.31290651947647002</v>
      </c>
    </row>
    <row r="29">
      <c r="A29" t="s">
        <v>311</v>
      </c>
      <c r="B29" t="n">
        <v>5.8074111609900001</v>
      </c>
      <c r="C29" t="n">
        <v>27</v>
      </c>
      <c r="D29" t="n">
        <v>-6.5191962268052102</v>
      </c>
      <c r="E29" t="n">
        <v>18.1340185487852</v>
      </c>
      <c r="F29" s="21" t="n">
        <v>0.342286125819044</v>
      </c>
      <c r="G29" t="s">
        <v>312</v>
      </c>
      <c r="H29" s="21" t="n">
        <v>0.342286125819044</v>
      </c>
    </row>
    <row r="30">
      <c r="A30" t="s">
        <v>313</v>
      </c>
      <c r="B30" t="n">
        <v>1.33109300770118</v>
      </c>
      <c r="C30" t="n">
        <v>30</v>
      </c>
      <c r="D30" t="n">
        <v>-3.8970546021855199</v>
      </c>
      <c r="E30" t="n">
        <v>6.5592406175878804</v>
      </c>
      <c r="F30" s="21" t="n">
        <v>0.60690383810951198</v>
      </c>
      <c r="G30" t="s">
        <v>300</v>
      </c>
      <c r="H30" s="21" t="n">
        <v>0.75792958194762305</v>
      </c>
    </row>
    <row r="31">
      <c r="A31" t="s">
        <v>314</v>
      </c>
      <c r="B31" t="n">
        <v>-24.413778610226199</v>
      </c>
      <c r="C31" t="n">
        <v>19</v>
      </c>
      <c r="D31" t="n">
        <v>-50.2571190381504</v>
      </c>
      <c r="E31" t="n">
        <v>1.4295618176979299</v>
      </c>
      <c r="F31" s="21" t="n">
        <v>6.2706961384742202E-2</v>
      </c>
      <c r="G31" t="s">
        <v>315</v>
      </c>
      <c r="H31" s="21" t="n">
        <v>6.2706961384742202E-2</v>
      </c>
    </row>
    <row r="32">
      <c r="A32" t="s">
        <v>316</v>
      </c>
      <c r="B32" t="n">
        <v>-364.88666674083203</v>
      </c>
      <c r="C32" t="n">
        <v>31</v>
      </c>
      <c r="D32" t="n">
        <v>-725.65901937004901</v>
      </c>
      <c r="E32" t="n">
        <v>-4.1143141116141901</v>
      </c>
      <c r="F32" s="21" t="n">
        <v>4.7597064499234697E-2</v>
      </c>
      <c r="G32" t="s">
        <v>282</v>
      </c>
      <c r="H32" s="21" t="n">
        <v>0.142791193497705</v>
      </c>
    </row>
    <row r="33">
      <c r="A33" t="s">
        <v>317</v>
      </c>
      <c r="B33" t="n">
        <v>0.24705263116234299</v>
      </c>
      <c r="C33" t="n">
        <v>31</v>
      </c>
      <c r="D33" t="n">
        <v>-0.37311178236029202</v>
      </c>
      <c r="E33" t="n">
        <v>0.86721704468497796</v>
      </c>
      <c r="F33" s="21" t="n">
        <v>0.42271572819201197</v>
      </c>
      <c r="G33" t="s">
        <v>282</v>
      </c>
      <c r="H33" s="21" t="n">
        <v>0.66464325484266795</v>
      </c>
    </row>
    <row r="34">
      <c r="A34" t="s">
        <v>318</v>
      </c>
      <c r="B34" t="n">
        <v>-0.36488666674082898</v>
      </c>
      <c r="C34" t="n">
        <v>31</v>
      </c>
      <c r="D34" t="n">
        <v>-0.72565901937004496</v>
      </c>
      <c r="E34" t="n">
        <v>-4.1143141116136697E-3</v>
      </c>
      <c r="F34" s="21" t="n">
        <v>4.7597064499234898E-2</v>
      </c>
      <c r="G34" t="s">
        <v>282</v>
      </c>
      <c r="H34" s="21" t="n">
        <v>0.142791193497705</v>
      </c>
    </row>
  </sheetData>
  <conditionalFormatting sqref="F2:F34 H2:H34">
    <cfRule type="cellIs" dxfId="1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L37" sqref="L37"/>
    </sheetView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</row>
    <row r="2">
      <c r="A2" t="s">
        <v>281</v>
      </c>
      <c r="B2" t="n">
        <v>2.1052631578948398E-2</v>
      </c>
      <c r="C2" t="n">
        <v>38</v>
      </c>
      <c r="D2" t="n">
        <v>-0.36927262618384998</v>
      </c>
      <c r="E2" t="n">
        <v>0.41137788934174702</v>
      </c>
      <c r="F2" s="21" t="n">
        <v>0.91362796454107098</v>
      </c>
      <c r="G2" s="53" t="s">
        <v>282</v>
      </c>
      <c r="H2" s="21" t="n">
        <v>0.91362796454107098</v>
      </c>
    </row>
    <row r="3">
      <c r="A3" t="s">
        <v>283</v>
      </c>
      <c r="B3" t="n">
        <v>0.53609022556390895</v>
      </c>
      <c r="C3" t="n">
        <v>38</v>
      </c>
      <c r="D3" t="n">
        <v>-1.0179844842216199</v>
      </c>
      <c r="E3" t="n">
        <v>2.0901649353494398</v>
      </c>
      <c r="F3" s="21" t="n">
        <v>0.48922224497503503</v>
      </c>
      <c r="G3" s="53" t="s">
        <v>282</v>
      </c>
      <c r="H3" s="21" t="n">
        <v>0.91362796454107098</v>
      </c>
    </row>
    <row r="4">
      <c r="A4" t="s">
        <v>284</v>
      </c>
      <c r="B4" t="n">
        <v>0.19798607787627301</v>
      </c>
      <c r="C4" t="n">
        <v>38</v>
      </c>
      <c r="D4" t="n">
        <v>-0.35599645338887997</v>
      </c>
      <c r="E4" t="n">
        <v>0.75196860914142505</v>
      </c>
      <c r="F4" s="21" t="n">
        <v>0.47380808695862497</v>
      </c>
      <c r="G4" s="53" t="s">
        <v>282</v>
      </c>
      <c r="H4" s="21" t="n">
        <v>0.91362796454107098</v>
      </c>
    </row>
    <row r="5">
      <c r="A5" t="s">
        <v>285</v>
      </c>
      <c r="B5" t="n">
        <v>-427.1099375</v>
      </c>
      <c r="C5" t="n">
        <v>33</v>
      </c>
      <c r="D5" t="n">
        <v>-1171.9606517416801</v>
      </c>
      <c r="E5" t="n">
        <v>317.74077674167899</v>
      </c>
      <c r="F5" s="21" t="n">
        <v>0.25172349782138098</v>
      </c>
      <c r="G5" s="53" t="s">
        <v>286</v>
      </c>
      <c r="H5" s="21" t="n">
        <v>0.467486495953993</v>
      </c>
    </row>
    <row r="6">
      <c r="A6" t="s">
        <v>287</v>
      </c>
      <c r="B6" t="n">
        <v>-237.460615131579</v>
      </c>
      <c r="C6" t="n">
        <v>33</v>
      </c>
      <c r="D6" t="n">
        <v>-757.25215012423701</v>
      </c>
      <c r="E6" t="n">
        <v>282.33091986108002</v>
      </c>
      <c r="F6" s="21" t="n">
        <v>0.35940828508817002</v>
      </c>
      <c r="G6" s="53" t="s">
        <v>286</v>
      </c>
      <c r="H6" s="21" t="n">
        <v>0.51914530068291198</v>
      </c>
    </row>
    <row r="7">
      <c r="A7" t="s">
        <v>288</v>
      </c>
      <c r="B7" t="n">
        <v>-379.88200986842099</v>
      </c>
      <c r="C7" t="n">
        <v>33</v>
      </c>
      <c r="D7" t="n">
        <v>-1004.12959365568</v>
      </c>
      <c r="E7" t="n">
        <v>244.36557391884301</v>
      </c>
      <c r="F7" s="21" t="n">
        <v>0.224418136802324</v>
      </c>
      <c r="G7" s="53" t="s">
        <v>286</v>
      </c>
      <c r="H7" s="21" t="n">
        <v>0.467486495953993</v>
      </c>
    </row>
    <row r="8">
      <c r="A8" t="s">
        <v>289</v>
      </c>
      <c r="B8" t="n">
        <v>-1.1608753289473701</v>
      </c>
      <c r="C8" t="n">
        <v>33</v>
      </c>
      <c r="D8" t="n">
        <v>-11.6945398159909</v>
      </c>
      <c r="E8" t="n">
        <v>9.3727891580962108</v>
      </c>
      <c r="F8" s="21" t="n">
        <v>0.82397149904495004</v>
      </c>
      <c r="G8" s="53" t="s">
        <v>286</v>
      </c>
      <c r="H8" s="21" t="n">
        <v>0.82397149904495004</v>
      </c>
    </row>
    <row r="9">
      <c r="A9" t="s">
        <v>290</v>
      </c>
      <c r="B9" t="n">
        <v>1.1608753289473701</v>
      </c>
      <c r="C9" t="n">
        <v>33</v>
      </c>
      <c r="D9" t="n">
        <v>-9.3727891580962108</v>
      </c>
      <c r="E9" t="n">
        <v>11.6945398159909</v>
      </c>
      <c r="F9" s="21" t="n">
        <v>0.82397149904495004</v>
      </c>
      <c r="G9" s="53" t="s">
        <v>286</v>
      </c>
      <c r="H9" s="21" t="n">
        <v>0.82397149904495004</v>
      </c>
    </row>
    <row r="10">
      <c r="A10" t="s">
        <v>291</v>
      </c>
      <c r="B10" t="n">
        <v>-0.28571441219149402</v>
      </c>
      <c r="C10" t="n">
        <v>33</v>
      </c>
      <c r="D10" t="n">
        <v>-0.73691297080596596</v>
      </c>
      <c r="E10" t="n">
        <v>0.16548414642297701</v>
      </c>
      <c r="F10" s="21" t="n">
        <v>0.206593002252244</v>
      </c>
      <c r="G10" s="53" t="s">
        <v>286</v>
      </c>
      <c r="H10" s="21" t="n">
        <v>0.467486495953993</v>
      </c>
    </row>
    <row r="11">
      <c r="A11" t="s">
        <v>292</v>
      </c>
      <c r="B11" t="n">
        <v>-0.27508997283680497</v>
      </c>
      <c r="C11" t="n">
        <v>33</v>
      </c>
      <c r="D11" t="n">
        <v>-0.65229898630513505</v>
      </c>
      <c r="E11" t="n">
        <v>0.10211904063152399</v>
      </c>
      <c r="F11" s="21" t="n">
        <v>0.14737087628801801</v>
      </c>
      <c r="G11" s="53" t="s">
        <v>286</v>
      </c>
      <c r="H11" s="21" t="n">
        <v>0.467486495953993</v>
      </c>
    </row>
    <row r="12">
      <c r="A12" t="s">
        <v>293</v>
      </c>
      <c r="B12" t="n">
        <v>-0.293026364748942</v>
      </c>
      <c r="C12" t="n">
        <v>33</v>
      </c>
      <c r="D12" t="n">
        <v>-0.72317052321109199</v>
      </c>
      <c r="E12" t="n">
        <v>0.13711779371320901</v>
      </c>
      <c r="F12" s="21" t="n">
        <v>0.17505128391192401</v>
      </c>
      <c r="G12" s="53" t="s">
        <v>286</v>
      </c>
      <c r="H12" s="21" t="n">
        <v>0.467486495953993</v>
      </c>
    </row>
    <row r="13">
      <c r="A13" t="s">
        <v>294</v>
      </c>
      <c r="B13" t="n">
        <v>-1.5132708573704801E-2</v>
      </c>
      <c r="C13" t="n">
        <v>33</v>
      </c>
      <c r="D13" t="n">
        <v>-0.15174677804595901</v>
      </c>
      <c r="E13" t="n">
        <v>0.12148136089854999</v>
      </c>
      <c r="F13" s="21" t="n">
        <v>0.82308690095370995</v>
      </c>
      <c r="G13" s="53" t="s">
        <v>286</v>
      </c>
      <c r="H13" s="21" t="n">
        <v>0.82397149904495004</v>
      </c>
    </row>
    <row r="14">
      <c r="A14" t="s">
        <v>295</v>
      </c>
      <c r="B14" t="n">
        <v>-8.8122152530844794E-2</v>
      </c>
      <c r="C14" t="n">
        <v>33</v>
      </c>
      <c r="D14" t="n">
        <v>-0.25491771376120997</v>
      </c>
      <c r="E14" t="n">
        <v>7.8673408699520803E-2</v>
      </c>
      <c r="F14" s="21" t="n">
        <v>0.29022329513434503</v>
      </c>
      <c r="G14" s="53" t="s">
        <v>286</v>
      </c>
      <c r="H14" s="21" t="n">
        <v>0.47161285459330998</v>
      </c>
    </row>
    <row r="15">
      <c r="A15" t="s">
        <v>296</v>
      </c>
      <c r="B15" t="n">
        <v>-4.0374616111848803E-2</v>
      </c>
      <c r="C15" t="n">
        <v>33</v>
      </c>
      <c r="D15" t="n">
        <v>-0.186675562801568</v>
      </c>
      <c r="E15" t="n">
        <v>0.10592633057787</v>
      </c>
      <c r="F15" s="21" t="n">
        <v>0.57827439039582396</v>
      </c>
      <c r="G15" s="53" t="s">
        <v>286</v>
      </c>
      <c r="H15" s="21" t="n">
        <v>0.75175670751457102</v>
      </c>
    </row>
    <row r="16">
      <c r="A16" t="s">
        <v>297</v>
      </c>
      <c r="B16" t="n">
        <v>-0.230343360192686</v>
      </c>
      <c r="C16" t="n">
        <v>36</v>
      </c>
      <c r="D16" t="n">
        <v>-0.42265699703828502</v>
      </c>
      <c r="E16" t="n">
        <v>-3.8029723347086701E-2</v>
      </c>
      <c r="F16" s="21" t="n">
        <v>2.0254148557251599E-2</v>
      </c>
      <c r="G16" s="53" t="s">
        <v>286</v>
      </c>
      <c r="H16" s="21" t="n">
        <v>0.13165196562213499</v>
      </c>
    </row>
    <row r="17">
      <c r="A17" t="s">
        <v>298</v>
      </c>
      <c r="B17" t="n">
        <v>-0.25763262313120799</v>
      </c>
      <c r="C17" t="n">
        <v>36</v>
      </c>
      <c r="D17" t="n">
        <v>-0.44263117529115298</v>
      </c>
      <c r="E17" t="n">
        <v>-7.2634070971263606E-2</v>
      </c>
      <c r="F17" s="21" t="n">
        <v>7.67559272310675E-3</v>
      </c>
      <c r="G17" s="53" t="s">
        <v>286</v>
      </c>
      <c r="H17" s="21" t="n">
        <v>9.9782705400387695E-2</v>
      </c>
    </row>
    <row r="18">
      <c r="A18" t="s">
        <v>299</v>
      </c>
      <c r="B18" t="n">
        <v>-8.8847117794486299E-2</v>
      </c>
      <c r="C18" t="n">
        <v>38</v>
      </c>
      <c r="D18" t="n">
        <v>-0.221847018282263</v>
      </c>
      <c r="E18" t="n">
        <v>4.4152782693290003E-2</v>
      </c>
      <c r="F18" s="21" t="n">
        <v>0.184258921413815</v>
      </c>
      <c r="G18" s="53" t="s">
        <v>300</v>
      </c>
      <c r="H18" s="21" t="n">
        <v>0.44278783476086497</v>
      </c>
    </row>
    <row r="19">
      <c r="A19" t="s">
        <v>301</v>
      </c>
      <c r="B19" t="n">
        <v>-1.4629824561403499</v>
      </c>
      <c r="C19" t="n">
        <v>38</v>
      </c>
      <c r="D19" t="n">
        <v>-3.2655883691475802</v>
      </c>
      <c r="E19" t="n">
        <v>0.339623456866881</v>
      </c>
      <c r="F19" s="21" t="n">
        <v>0.108636717097501</v>
      </c>
      <c r="G19" s="53" t="s">
        <v>300</v>
      </c>
      <c r="H19" s="21" t="n">
        <v>0.44278783476086497</v>
      </c>
    </row>
    <row r="20">
      <c r="A20" t="s">
        <v>302</v>
      </c>
      <c r="B20" t="n">
        <v>-4.33368421052631</v>
      </c>
      <c r="C20" t="n">
        <v>32</v>
      </c>
      <c r="D20" t="n">
        <v>-10.842114351931301</v>
      </c>
      <c r="E20" t="n">
        <v>2.1747459308786898</v>
      </c>
      <c r="F20" s="21" t="n">
        <v>0.18449493115036</v>
      </c>
      <c r="G20" s="53" t="s">
        <v>300</v>
      </c>
      <c r="H20" s="21" t="n">
        <v>0.44278783476086497</v>
      </c>
    </row>
    <row r="21">
      <c r="A21" t="s">
        <v>303</v>
      </c>
      <c r="B21" t="n">
        <v>0.18157894736842101</v>
      </c>
      <c r="C21" t="n">
        <v>37</v>
      </c>
      <c r="D21" t="n">
        <v>-4.7841899279282503</v>
      </c>
      <c r="E21" t="n">
        <v>5.1473478226650897</v>
      </c>
      <c r="F21" s="21" t="n">
        <v>0.94133787571804695</v>
      </c>
      <c r="G21" s="53" t="s">
        <v>300</v>
      </c>
      <c r="H21" s="21" t="n">
        <v>0.94133787571804695</v>
      </c>
    </row>
    <row r="22">
      <c r="A22" t="s">
        <v>304</v>
      </c>
      <c r="B22" t="n">
        <v>-0.44121758303783998</v>
      </c>
      <c r="C22" t="n">
        <v>37</v>
      </c>
      <c r="D22" t="n">
        <v>-1.29104424983479</v>
      </c>
      <c r="E22" t="n">
        <v>0.40860908375910898</v>
      </c>
      <c r="F22" s="21" t="n">
        <v>0.29963565917050999</v>
      </c>
      <c r="G22" s="53" t="s">
        <v>300</v>
      </c>
      <c r="H22" s="21" t="n">
        <v>0.59927131834101999</v>
      </c>
    </row>
    <row r="23">
      <c r="A23" t="s">
        <v>305</v>
      </c>
      <c r="B23" t="n">
        <v>-0.82352941176470595</v>
      </c>
      <c r="C23" t="n">
        <v>30</v>
      </c>
      <c r="D23" t="n">
        <v>-1.9935982301839701</v>
      </c>
      <c r="E23" t="n">
        <v>0.34653940665455701</v>
      </c>
      <c r="F23" s="21" t="n">
        <v>0.16095015227457801</v>
      </c>
      <c r="G23" s="53" t="s">
        <v>300</v>
      </c>
      <c r="H23" s="21" t="n">
        <v>0.44278783476086497</v>
      </c>
    </row>
    <row r="24">
      <c r="A24" t="s">
        <v>306</v>
      </c>
      <c r="B24" t="n">
        <v>4.4360902255639101E-2</v>
      </c>
      <c r="C24" t="n">
        <v>38</v>
      </c>
      <c r="D24" t="n">
        <v>2.77954844261773E-3</v>
      </c>
      <c r="E24" t="n">
        <v>8.5942256068660502E-2</v>
      </c>
      <c r="F24" s="21" t="n">
        <v>3.7169583719759001E-2</v>
      </c>
      <c r="G24" s="53" t="s">
        <v>300</v>
      </c>
      <c r="H24" s="21" t="n">
        <v>0.44278783476086497</v>
      </c>
    </row>
    <row r="25">
      <c r="A25" t="s">
        <v>307</v>
      </c>
      <c r="B25" t="n">
        <v>2.6077694235589002</v>
      </c>
      <c r="C25" t="n">
        <v>38</v>
      </c>
      <c r="D25" t="n">
        <v>-5.5403057875395403</v>
      </c>
      <c r="E25" t="n">
        <v>10.755844634657301</v>
      </c>
      <c r="F25" s="21" t="n">
        <v>0.52094412517808397</v>
      </c>
      <c r="G25" s="53" t="s">
        <v>300</v>
      </c>
      <c r="H25" s="21" t="n">
        <v>0.69315417830203796</v>
      </c>
    </row>
    <row r="26">
      <c r="A26" t="s">
        <v>308</v>
      </c>
      <c r="B26" t="n">
        <v>3.35</v>
      </c>
      <c r="C26" t="n">
        <v>36</v>
      </c>
      <c r="D26" t="n">
        <v>-6.2984889766406598</v>
      </c>
      <c r="E26" t="n">
        <v>12.998488976640701</v>
      </c>
      <c r="F26" s="21" t="n">
        <v>0.48586123162218398</v>
      </c>
      <c r="G26" s="53" t="s">
        <v>300</v>
      </c>
      <c r="H26" s="21" t="n">
        <v>0.69315417830203796</v>
      </c>
    </row>
    <row r="27">
      <c r="A27" t="s">
        <v>309</v>
      </c>
      <c r="B27" t="n">
        <v>0.30867023361111101</v>
      </c>
      <c r="C27" t="n">
        <v>36</v>
      </c>
      <c r="D27" t="n">
        <v>-0.80531823099521105</v>
      </c>
      <c r="E27" t="n">
        <v>1.4226586982174301</v>
      </c>
      <c r="F27" s="21" t="n">
        <v>0.57762848191836502</v>
      </c>
      <c r="G27" s="53" t="s">
        <v>300</v>
      </c>
      <c r="H27" s="21" t="n">
        <v>0.69315417830203796</v>
      </c>
    </row>
    <row r="28">
      <c r="A28" t="s">
        <v>310</v>
      </c>
      <c r="B28" t="n">
        <v>0.51340325000000098</v>
      </c>
      <c r="C28" t="n">
        <v>36</v>
      </c>
      <c r="D28" t="n">
        <v>-7.2442857713857602</v>
      </c>
      <c r="E28" t="n">
        <v>8.2710922713857595</v>
      </c>
      <c r="F28" s="21" t="n">
        <v>0.89397689392443702</v>
      </c>
      <c r="G28" s="53" t="s">
        <v>300</v>
      </c>
      <c r="H28" s="21" t="n">
        <v>0.94133787571804695</v>
      </c>
    </row>
    <row r="29">
      <c r="A29" t="s">
        <v>311</v>
      </c>
      <c r="B29" t="n">
        <v>1.0326797385620901</v>
      </c>
      <c r="C29" t="n">
        <v>33</v>
      </c>
      <c r="D29" t="n">
        <v>-10.550894828994799</v>
      </c>
      <c r="E29" t="n">
        <v>12.616254306119</v>
      </c>
      <c r="F29" s="21" t="n">
        <v>0.85718055165082296</v>
      </c>
      <c r="G29" s="53" t="s">
        <v>312</v>
      </c>
      <c r="H29" s="21" t="n">
        <v>0.85718055165082296</v>
      </c>
    </row>
    <row r="30">
      <c r="A30" t="s">
        <v>313</v>
      </c>
      <c r="B30" t="n">
        <v>2.0840000000000001</v>
      </c>
      <c r="C30" t="n">
        <v>37</v>
      </c>
      <c r="D30" t="n">
        <v>-3.68102987924917</v>
      </c>
      <c r="E30" t="n">
        <v>7.8490298792491702</v>
      </c>
      <c r="F30" s="21" t="n">
        <v>0.468509879664738</v>
      </c>
      <c r="G30" s="53" t="s">
        <v>300</v>
      </c>
      <c r="H30" s="21" t="n">
        <v>0.69315417830203796</v>
      </c>
    </row>
    <row r="31">
      <c r="A31" t="s">
        <v>314</v>
      </c>
      <c r="B31" t="n">
        <v>3.1449390813157398</v>
      </c>
      <c r="C31" t="n">
        <v>23</v>
      </c>
      <c r="D31" t="n">
        <v>-17.021324554780701</v>
      </c>
      <c r="E31" t="n">
        <v>23.311202717412201</v>
      </c>
      <c r="F31" s="21" t="n">
        <v>0.74990632923230804</v>
      </c>
      <c r="G31" s="53" t="s">
        <v>315</v>
      </c>
      <c r="H31" s="21" t="n">
        <v>0.74990632923230804</v>
      </c>
    </row>
    <row r="32">
      <c r="A32" t="s">
        <v>316</v>
      </c>
      <c r="B32" t="n">
        <v>-52.4444444444444</v>
      </c>
      <c r="C32" t="n">
        <v>37</v>
      </c>
      <c r="D32" t="n">
        <v>-324.21330869634699</v>
      </c>
      <c r="E32" t="n">
        <v>219.32441980745801</v>
      </c>
      <c r="F32" s="21" t="n">
        <v>0.69803728112840502</v>
      </c>
      <c r="G32" s="53" t="s">
        <v>282</v>
      </c>
      <c r="H32" s="21" t="n">
        <v>0.91362796454107098</v>
      </c>
    </row>
    <row r="33">
      <c r="A33" t="s">
        <v>317</v>
      </c>
      <c r="B33" t="n">
        <v>-9.1873015873016203E-2</v>
      </c>
      <c r="C33" t="n">
        <v>37</v>
      </c>
      <c r="D33" t="n">
        <v>-0.73886335557553995</v>
      </c>
      <c r="E33" t="n">
        <v>0.55511732382950796</v>
      </c>
      <c r="F33" s="21" t="n">
        <v>0.775166134918713</v>
      </c>
      <c r="G33" s="53" t="s">
        <v>282</v>
      </c>
      <c r="H33" s="21" t="n">
        <v>0.91362796454107098</v>
      </c>
    </row>
    <row r="34">
      <c r="A34" t="s">
        <v>318</v>
      </c>
      <c r="B34" t="n">
        <v>-5.2444444444444203E-2</v>
      </c>
      <c r="C34" t="n">
        <v>37</v>
      </c>
      <c r="D34" t="n">
        <v>-0.32421330869634601</v>
      </c>
      <c r="E34" t="n">
        <v>0.21932441980745801</v>
      </c>
      <c r="F34" s="21" t="n">
        <v>0.69803728112840602</v>
      </c>
      <c r="G34" s="53" t="s">
        <v>282</v>
      </c>
      <c r="H34" s="21" t="n">
        <v>0.91362796454107098</v>
      </c>
    </row>
  </sheetData>
  <conditionalFormatting sqref="F2:H34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Lars Martin Tingelstad</cp:lastModifiedBy>
  <dcterms:created xsi:type="dcterms:W3CDTF">2011-08-01T14:22:18Z</dcterms:created>
  <dcterms:modified xsi:type="dcterms:W3CDTF">2026-03-10T14:31:07Z</dcterms:modified>
</cp:coreProperties>
</file>